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dyullatha/Desktop/Capstone 6099 /R/data/"/>
    </mc:Choice>
  </mc:AlternateContent>
  <xr:revisionPtr revIDLastSave="0" documentId="8_{5A4DA791-CA63-9347-AE33-C9FE9F907AFF}" xr6:coauthVersionLast="47" xr6:coauthVersionMax="47" xr10:uidLastSave="{00000000-0000-0000-0000-000000000000}"/>
  <bookViews>
    <workbookView xWindow="0" yWindow="880" windowWidth="36000" windowHeight="22500" xr2:uid="{FCB323EA-B644-4026-99B1-019A293B4D67}"/>
  </bookViews>
  <sheets>
    <sheet name="C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3" i="3" l="1"/>
  <c r="M71" i="3"/>
  <c r="M69" i="3"/>
  <c r="M67" i="3"/>
  <c r="M66" i="3"/>
  <c r="M64" i="3"/>
  <c r="M62" i="3"/>
  <c r="M60" i="3"/>
  <c r="M58" i="3"/>
  <c r="M56" i="3"/>
  <c r="M54" i="3"/>
  <c r="M51" i="3"/>
  <c r="M47" i="3"/>
  <c r="M45" i="3"/>
  <c r="M43" i="3"/>
  <c r="M41" i="3"/>
  <c r="M40" i="3"/>
  <c r="M38" i="3"/>
  <c r="M36" i="3"/>
  <c r="M34" i="3"/>
  <c r="M32" i="3"/>
  <c r="M30" i="3"/>
  <c r="M26" i="3"/>
  <c r="M25" i="3"/>
  <c r="M23" i="3"/>
  <c r="M21" i="3"/>
  <c r="M19" i="3"/>
  <c r="M17" i="3"/>
  <c r="M16" i="3"/>
  <c r="M14" i="3"/>
  <c r="M12" i="3"/>
  <c r="M10" i="3"/>
  <c r="M8" i="3"/>
</calcChain>
</file>

<file path=xl/sharedStrings.xml><?xml version="1.0" encoding="utf-8"?>
<sst xmlns="http://schemas.openxmlformats.org/spreadsheetml/2006/main" count="752" uniqueCount="88">
  <si>
    <t>from_location1</t>
  </si>
  <si>
    <t>from_location2</t>
  </si>
  <si>
    <t>distance_1</t>
  </si>
  <si>
    <t>to_location1</t>
  </si>
  <si>
    <t>to_location2</t>
  </si>
  <si>
    <t>distance_2</t>
  </si>
  <si>
    <t>From</t>
  </si>
  <si>
    <t>To</t>
  </si>
  <si>
    <t>flow_stage_from</t>
  </si>
  <si>
    <t>flow_stage_to</t>
  </si>
  <si>
    <t>NA</t>
  </si>
  <si>
    <t>China</t>
  </si>
  <si>
    <t>refining</t>
  </si>
  <si>
    <t>Australia</t>
  </si>
  <si>
    <t>manufacturing</t>
  </si>
  <si>
    <t>proxy</t>
  </si>
  <si>
    <t>Japan</t>
  </si>
  <si>
    <t>South Korea</t>
  </si>
  <si>
    <t>truck</t>
  </si>
  <si>
    <t>rail</t>
  </si>
  <si>
    <t>Norway</t>
  </si>
  <si>
    <t>Canada</t>
  </si>
  <si>
    <t>Finland</t>
  </si>
  <si>
    <t>South Africa</t>
  </si>
  <si>
    <t>transport_type_1</t>
  </si>
  <si>
    <t>transport_type_2</t>
  </si>
  <si>
    <t>DRC</t>
  </si>
  <si>
    <t>Belgium</t>
  </si>
  <si>
    <t>Madagascar</t>
  </si>
  <si>
    <t>Morocco</t>
  </si>
  <si>
    <t>Zambia</t>
  </si>
  <si>
    <t>India</t>
  </si>
  <si>
    <t>Quzhou Huayou Cobalt New Material Co.</t>
  </si>
  <si>
    <t>Jiangsi Cobalt Nickel Metal</t>
  </si>
  <si>
    <t xml:space="preserve">Port of Shanghai </t>
  </si>
  <si>
    <t xml:space="preserve">Tongxiang cobalt refinary </t>
  </si>
  <si>
    <t>Tenke Fungurume Mines</t>
  </si>
  <si>
    <t>Gecamines</t>
  </si>
  <si>
    <t xml:space="preserve">Murrin Murrin Mines </t>
  </si>
  <si>
    <t>Minara Resources</t>
  </si>
  <si>
    <t>Co mine in Olen</t>
  </si>
  <si>
    <t>Umicore Reninery</t>
  </si>
  <si>
    <t>Newfoundland and Labrador mine</t>
  </si>
  <si>
    <t xml:space="preserve">Electra Battery Materials refinery </t>
  </si>
  <si>
    <t>Talvivaara mines</t>
  </si>
  <si>
    <t>Freeport Cobalt refinery</t>
  </si>
  <si>
    <t>refinery at mining site</t>
  </si>
  <si>
    <t xml:space="preserve">Bou Azzer Mine </t>
  </si>
  <si>
    <t>Tangier port</t>
  </si>
  <si>
    <t>Nkomati mine</t>
  </si>
  <si>
    <t>Anglo Platinum Refinery</t>
  </si>
  <si>
    <t>Murrin Murrin Mines</t>
  </si>
  <si>
    <t> Minara Resources</t>
  </si>
  <si>
    <t>Electra Battery Materials refinery </t>
  </si>
  <si>
    <t>Odisha</t>
  </si>
  <si>
    <t>refinery in Gujrat</t>
  </si>
  <si>
    <t>Bou Azzer Mine</t>
  </si>
  <si>
    <t>Blaafarveværket mine</t>
  </si>
  <si>
    <t>Nikkelverk refinery</t>
  </si>
  <si>
    <t xml:space="preserve">Co mine in Olen </t>
  </si>
  <si>
    <t xml:space="preserve">Newfoundland and Labrador mine </t>
  </si>
  <si>
    <t>Tenke Fungurume Mine</t>
  </si>
  <si>
    <t>Dar es Salaam, Tanzania port</t>
  </si>
  <si>
    <t xml:space="preserve">Minara Resources </t>
  </si>
  <si>
    <t>Fremantle Harbour</t>
  </si>
  <si>
    <t>Unicore refinery</t>
  </si>
  <si>
    <t>port of antwerp</t>
  </si>
  <si>
    <t xml:space="preserve">Port of Toronto </t>
  </si>
  <si>
    <t>Port of Haukipudas</t>
  </si>
  <si>
    <t>Freeport Cobalt Refinery</t>
  </si>
  <si>
    <t>Tamatave port</t>
  </si>
  <si>
    <t>Ambatovy refinery</t>
  </si>
  <si>
    <t>port of durban</t>
  </si>
  <si>
    <t xml:space="preserve">Chambishi refinery </t>
  </si>
  <si>
    <t xml:space="preserve">Port of Durban in SA </t>
  </si>
  <si>
    <t>Unicore refinery </t>
  </si>
  <si>
    <t>Port of Toronto</t>
  </si>
  <si>
    <t>Haldia port in West Bengal</t>
  </si>
  <si>
    <t xml:space="preserve">Tamatave port </t>
  </si>
  <si>
    <t>port of olso</t>
  </si>
  <si>
    <t xml:space="preserve">port of durban </t>
  </si>
  <si>
    <t xml:space="preserve">Unicore refinery </t>
  </si>
  <si>
    <t xml:space="preserve"> Electra Battery Materials refinery</t>
  </si>
  <si>
    <t xml:space="preserve">Tenke Fungurume Mine </t>
  </si>
  <si>
    <t xml:space="preserve"> Anglo Pltinun refinery</t>
  </si>
  <si>
    <t>sea_distance_km</t>
  </si>
  <si>
    <t>Chain</t>
  </si>
  <si>
    <t>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</si>
</sst>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3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7CFF-06BB-47E9-ACB8-18AC9DEE6123}">
  <dimension ref="A1:N82"/>
  <sheetViews>
    <sheetView tabSelected="1" workbookViewId="0">
      <selection activeCell="M1" sqref="M1:M1048576"/>
    </sheetView>
  </sheetViews>
  <sheetFormatPr baseColWidth="10" defaultColWidth="8.83203125" defaultRowHeight="15" x14ac:dyDescent="0.2"/>
  <cols>
    <col min="1" max="1" width="26.6640625" customWidth="1"/>
    <col min="2" max="2" width="37.83203125" customWidth="1"/>
    <col min="3" max="3" width="16.6640625" customWidth="1"/>
    <col min="4" max="4" width="16.1640625" customWidth="1"/>
    <col min="5" max="5" width="43.1640625" customWidth="1"/>
    <col min="6" max="6" width="34.33203125" customWidth="1"/>
    <col min="7" max="7" width="14.33203125" customWidth="1"/>
    <col min="8" max="8" width="18" customWidth="1"/>
    <col min="9" max="9" width="14.6640625" customWidth="1"/>
    <col min="10" max="10" width="17.6640625" customWidth="1"/>
    <col min="11" max="11" width="20.83203125" customWidth="1"/>
    <col min="12" max="12" width="16.33203125" customWidth="1"/>
    <col min="13" max="13" width="18.1640625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25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85</v>
      </c>
      <c r="N1" s="1" t="s">
        <v>86</v>
      </c>
    </row>
    <row r="2" spans="1:14" ht="16" x14ac:dyDescent="0.2">
      <c r="A2" s="2" t="s">
        <v>10</v>
      </c>
      <c r="B2" s="2" t="s">
        <v>10</v>
      </c>
      <c r="C2" s="2"/>
      <c r="D2" t="s">
        <v>18</v>
      </c>
      <c r="E2" s="2" t="s">
        <v>32</v>
      </c>
      <c r="F2" s="2" t="s">
        <v>33</v>
      </c>
      <c r="G2" s="2">
        <v>546</v>
      </c>
      <c r="H2" t="s">
        <v>18</v>
      </c>
      <c r="I2" t="s">
        <v>11</v>
      </c>
      <c r="J2" t="s">
        <v>11</v>
      </c>
      <c r="K2" t="s">
        <v>87</v>
      </c>
      <c r="L2" t="s">
        <v>12</v>
      </c>
      <c r="N2" s="5">
        <v>38</v>
      </c>
    </row>
    <row r="3" spans="1:14" ht="16" x14ac:dyDescent="0.2">
      <c r="A3" s="2" t="s">
        <v>61</v>
      </c>
      <c r="B3" s="2" t="s">
        <v>62</v>
      </c>
      <c r="C3" s="2">
        <v>2030</v>
      </c>
      <c r="D3" t="s">
        <v>18</v>
      </c>
      <c r="E3" s="2" t="s">
        <v>34</v>
      </c>
      <c r="F3" s="2" t="s">
        <v>35</v>
      </c>
      <c r="G3" s="2">
        <v>200</v>
      </c>
      <c r="H3" t="s">
        <v>18</v>
      </c>
      <c r="I3" t="s">
        <v>26</v>
      </c>
      <c r="J3" t="s">
        <v>11</v>
      </c>
      <c r="K3" t="s">
        <v>87</v>
      </c>
      <c r="L3" t="s">
        <v>12</v>
      </c>
      <c r="M3">
        <v>12971</v>
      </c>
      <c r="N3" s="5">
        <v>39</v>
      </c>
    </row>
    <row r="4" spans="1:14" ht="16" x14ac:dyDescent="0.2">
      <c r="A4" s="2" t="s">
        <v>10</v>
      </c>
      <c r="B4" s="2" t="s">
        <v>10</v>
      </c>
      <c r="C4" s="2"/>
      <c r="D4" t="s">
        <v>18</v>
      </c>
      <c r="E4" s="2" t="s">
        <v>32</v>
      </c>
      <c r="F4" s="2" t="s">
        <v>33</v>
      </c>
      <c r="G4" s="2">
        <v>546</v>
      </c>
      <c r="H4" t="s">
        <v>18</v>
      </c>
      <c r="I4" t="s">
        <v>11</v>
      </c>
      <c r="J4" t="s">
        <v>11</v>
      </c>
      <c r="K4" t="s">
        <v>12</v>
      </c>
      <c r="L4" t="s">
        <v>14</v>
      </c>
      <c r="N4" s="2">
        <v>4</v>
      </c>
    </row>
    <row r="5" spans="1:14" ht="16" x14ac:dyDescent="0.2">
      <c r="A5" s="2" t="s">
        <v>10</v>
      </c>
      <c r="B5" s="2" t="s">
        <v>10</v>
      </c>
      <c r="C5" s="2"/>
      <c r="D5" t="s">
        <v>18</v>
      </c>
      <c r="E5" s="2" t="s">
        <v>36</v>
      </c>
      <c r="F5" s="2" t="s">
        <v>37</v>
      </c>
      <c r="G5" s="2">
        <v>220</v>
      </c>
      <c r="H5" t="s">
        <v>18</v>
      </c>
      <c r="I5" t="s">
        <v>26</v>
      </c>
      <c r="J5" t="s">
        <v>26</v>
      </c>
      <c r="K5" t="s">
        <v>87</v>
      </c>
      <c r="L5" t="s">
        <v>12</v>
      </c>
      <c r="N5" s="2">
        <v>40</v>
      </c>
    </row>
    <row r="6" spans="1:14" ht="16" x14ac:dyDescent="0.2">
      <c r="A6" s="2" t="s">
        <v>61</v>
      </c>
      <c r="B6" s="2" t="s">
        <v>62</v>
      </c>
      <c r="C6" s="2">
        <v>2030</v>
      </c>
      <c r="D6" t="s">
        <v>18</v>
      </c>
      <c r="E6" s="2" t="s">
        <v>34</v>
      </c>
      <c r="F6" s="2" t="s">
        <v>35</v>
      </c>
      <c r="G6" s="2">
        <v>200</v>
      </c>
      <c r="H6" t="s">
        <v>18</v>
      </c>
      <c r="I6" t="s">
        <v>26</v>
      </c>
      <c r="J6" t="s">
        <v>11</v>
      </c>
      <c r="K6" t="s">
        <v>12</v>
      </c>
      <c r="L6" t="s">
        <v>14</v>
      </c>
      <c r="M6">
        <v>12971</v>
      </c>
      <c r="N6" s="2">
        <v>5</v>
      </c>
    </row>
    <row r="7" spans="1:14" ht="16" x14ac:dyDescent="0.2">
      <c r="A7" s="2" t="s">
        <v>10</v>
      </c>
      <c r="B7" s="2" t="s">
        <v>10</v>
      </c>
      <c r="C7" s="2"/>
      <c r="D7" t="s">
        <v>18</v>
      </c>
      <c r="E7" s="2" t="s">
        <v>38</v>
      </c>
      <c r="F7" s="2" t="s">
        <v>39</v>
      </c>
      <c r="G7" s="2">
        <v>880</v>
      </c>
      <c r="H7" t="s">
        <v>18</v>
      </c>
      <c r="I7" t="s">
        <v>13</v>
      </c>
      <c r="J7" t="s">
        <v>13</v>
      </c>
      <c r="K7" t="s">
        <v>87</v>
      </c>
      <c r="L7" t="s">
        <v>12</v>
      </c>
      <c r="N7" s="2">
        <v>41</v>
      </c>
    </row>
    <row r="8" spans="1:14" ht="16" x14ac:dyDescent="0.2">
      <c r="A8" s="2" t="s">
        <v>63</v>
      </c>
      <c r="B8" s="2" t="s">
        <v>64</v>
      </c>
      <c r="C8" s="2">
        <v>20</v>
      </c>
      <c r="D8" t="s">
        <v>18</v>
      </c>
      <c r="E8" s="2" t="s">
        <v>34</v>
      </c>
      <c r="F8" s="2" t="s">
        <v>35</v>
      </c>
      <c r="G8" s="2">
        <v>200</v>
      </c>
      <c r="H8" t="s">
        <v>18</v>
      </c>
      <c r="I8" t="s">
        <v>13</v>
      </c>
      <c r="J8" t="s">
        <v>11</v>
      </c>
      <c r="K8" t="s">
        <v>12</v>
      </c>
      <c r="L8" t="s">
        <v>14</v>
      </c>
      <c r="M8">
        <f>4037*1.852</f>
        <v>7476.5240000000003</v>
      </c>
      <c r="N8" s="2">
        <v>6</v>
      </c>
    </row>
    <row r="9" spans="1:14" ht="16" x14ac:dyDescent="0.2">
      <c r="A9" s="2" t="s">
        <v>10</v>
      </c>
      <c r="B9" s="2" t="s">
        <v>10</v>
      </c>
      <c r="C9" s="2"/>
      <c r="D9" t="s">
        <v>18</v>
      </c>
      <c r="E9" s="2" t="s">
        <v>40</v>
      </c>
      <c r="F9" s="2" t="s">
        <v>41</v>
      </c>
      <c r="G9" s="2">
        <v>71</v>
      </c>
      <c r="H9" t="s">
        <v>18</v>
      </c>
      <c r="I9" t="s">
        <v>27</v>
      </c>
      <c r="J9" t="s">
        <v>27</v>
      </c>
      <c r="K9" t="s">
        <v>87</v>
      </c>
      <c r="L9" t="s">
        <v>12</v>
      </c>
      <c r="N9" s="2">
        <v>42</v>
      </c>
    </row>
    <row r="10" spans="1:14" ht="16" x14ac:dyDescent="0.2">
      <c r="A10" s="2" t="s">
        <v>65</v>
      </c>
      <c r="B10" s="2" t="s">
        <v>66</v>
      </c>
      <c r="C10" s="2">
        <v>52</v>
      </c>
      <c r="D10" t="s">
        <v>18</v>
      </c>
      <c r="E10" s="2" t="s">
        <v>34</v>
      </c>
      <c r="F10" s="2" t="s">
        <v>35</v>
      </c>
      <c r="G10" s="2">
        <v>200</v>
      </c>
      <c r="H10" t="s">
        <v>18</v>
      </c>
      <c r="I10" t="s">
        <v>27</v>
      </c>
      <c r="J10" t="s">
        <v>11</v>
      </c>
      <c r="K10" t="s">
        <v>12</v>
      </c>
      <c r="L10" t="s">
        <v>14</v>
      </c>
      <c r="M10">
        <f>10530*1.852</f>
        <v>19501.560000000001</v>
      </c>
      <c r="N10" s="2">
        <v>7</v>
      </c>
    </row>
    <row r="11" spans="1:14" ht="16" x14ac:dyDescent="0.2">
      <c r="A11" s="2" t="s">
        <v>10</v>
      </c>
      <c r="B11" s="2" t="s">
        <v>10</v>
      </c>
      <c r="C11" s="2"/>
      <c r="D11" t="s">
        <v>18</v>
      </c>
      <c r="E11" s="2" t="s">
        <v>42</v>
      </c>
      <c r="F11" s="2" t="s">
        <v>43</v>
      </c>
      <c r="G11" s="2">
        <v>500</v>
      </c>
      <c r="H11" t="s">
        <v>19</v>
      </c>
      <c r="I11" t="s">
        <v>21</v>
      </c>
      <c r="J11" t="s">
        <v>21</v>
      </c>
      <c r="K11" t="s">
        <v>87</v>
      </c>
      <c r="L11" t="s">
        <v>12</v>
      </c>
      <c r="N11" s="2">
        <v>43</v>
      </c>
    </row>
    <row r="12" spans="1:14" ht="16" x14ac:dyDescent="0.2">
      <c r="A12" s="2" t="s">
        <v>67</v>
      </c>
      <c r="B12" s="2" t="s">
        <v>43</v>
      </c>
      <c r="C12" s="2">
        <v>505</v>
      </c>
      <c r="D12" t="s">
        <v>19</v>
      </c>
      <c r="E12" s="2" t="s">
        <v>34</v>
      </c>
      <c r="F12" s="2" t="s">
        <v>35</v>
      </c>
      <c r="G12" s="2">
        <v>200</v>
      </c>
      <c r="H12" t="s">
        <v>18</v>
      </c>
      <c r="I12" t="s">
        <v>21</v>
      </c>
      <c r="J12" t="s">
        <v>11</v>
      </c>
      <c r="K12" t="s">
        <v>12</v>
      </c>
      <c r="L12" t="s">
        <v>14</v>
      </c>
      <c r="M12">
        <f>12091*1.852</f>
        <v>22392.532000000003</v>
      </c>
      <c r="N12" s="2">
        <v>8</v>
      </c>
    </row>
    <row r="13" spans="1:14" ht="16" x14ac:dyDescent="0.2">
      <c r="A13" s="2" t="s">
        <v>10</v>
      </c>
      <c r="B13" s="2" t="s">
        <v>10</v>
      </c>
      <c r="C13" s="2"/>
      <c r="D13" t="s">
        <v>18</v>
      </c>
      <c r="E13" s="2" t="s">
        <v>44</v>
      </c>
      <c r="F13" s="2" t="s">
        <v>45</v>
      </c>
      <c r="G13" s="2">
        <v>300</v>
      </c>
      <c r="H13" t="s">
        <v>18</v>
      </c>
      <c r="I13" t="s">
        <v>22</v>
      </c>
      <c r="J13" t="s">
        <v>22</v>
      </c>
      <c r="K13" t="s">
        <v>87</v>
      </c>
      <c r="L13" t="s">
        <v>12</v>
      </c>
      <c r="N13" s="2">
        <v>44</v>
      </c>
    </row>
    <row r="14" spans="1:14" ht="16" x14ac:dyDescent="0.2">
      <c r="A14" s="2" t="s">
        <v>68</v>
      </c>
      <c r="B14" s="2" t="s">
        <v>69</v>
      </c>
      <c r="C14" s="2">
        <v>227</v>
      </c>
      <c r="D14" t="s">
        <v>18</v>
      </c>
      <c r="E14" s="2" t="s">
        <v>34</v>
      </c>
      <c r="F14" s="2" t="s">
        <v>35</v>
      </c>
      <c r="G14" s="2">
        <v>200</v>
      </c>
      <c r="H14" t="s">
        <v>18</v>
      </c>
      <c r="I14" t="s">
        <v>22</v>
      </c>
      <c r="J14" t="s">
        <v>11</v>
      </c>
      <c r="K14" t="s">
        <v>12</v>
      </c>
      <c r="L14" t="s">
        <v>14</v>
      </c>
      <c r="M14">
        <f>11613*1.852</f>
        <v>21507.276000000002</v>
      </c>
      <c r="N14" s="2">
        <v>9</v>
      </c>
    </row>
    <row r="15" spans="1:14" ht="16" x14ac:dyDescent="0.2">
      <c r="A15" s="2" t="s">
        <v>10</v>
      </c>
      <c r="B15" s="2" t="s">
        <v>10</v>
      </c>
      <c r="C15" s="2"/>
      <c r="D15" t="s">
        <v>18</v>
      </c>
      <c r="E15" s="2" t="s">
        <v>46</v>
      </c>
      <c r="F15" s="2" t="s">
        <v>10</v>
      </c>
      <c r="G15" s="2">
        <v>5</v>
      </c>
      <c r="H15" t="s">
        <v>18</v>
      </c>
      <c r="I15" t="s">
        <v>28</v>
      </c>
      <c r="J15" t="s">
        <v>28</v>
      </c>
      <c r="K15" t="s">
        <v>87</v>
      </c>
      <c r="L15" t="s">
        <v>12</v>
      </c>
      <c r="N15" s="2">
        <v>45</v>
      </c>
    </row>
    <row r="16" spans="1:14" ht="16" x14ac:dyDescent="0.2">
      <c r="A16" s="2" t="s">
        <v>70</v>
      </c>
      <c r="B16" s="2" t="s">
        <v>71</v>
      </c>
      <c r="C16" s="2">
        <v>240</v>
      </c>
      <c r="D16" t="s">
        <v>18</v>
      </c>
      <c r="E16" s="2" t="s">
        <v>34</v>
      </c>
      <c r="F16" s="2" t="s">
        <v>35</v>
      </c>
      <c r="G16" s="2">
        <v>200</v>
      </c>
      <c r="H16" t="s">
        <v>18</v>
      </c>
      <c r="I16" t="s">
        <v>28</v>
      </c>
      <c r="J16" t="s">
        <v>11</v>
      </c>
      <c r="K16" t="s">
        <v>12</v>
      </c>
      <c r="L16" t="s">
        <v>14</v>
      </c>
      <c r="M16">
        <f>5907*1.852</f>
        <v>10939.764000000001</v>
      </c>
      <c r="N16" s="2">
        <v>10</v>
      </c>
    </row>
    <row r="17" spans="1:14" ht="16" x14ac:dyDescent="0.2">
      <c r="A17" s="2" t="s">
        <v>61</v>
      </c>
      <c r="B17" s="2" t="s">
        <v>62</v>
      </c>
      <c r="C17" s="2">
        <v>2030</v>
      </c>
      <c r="D17" t="s">
        <v>18</v>
      </c>
      <c r="E17" s="2" t="s">
        <v>47</v>
      </c>
      <c r="F17" s="2" t="s">
        <v>48</v>
      </c>
      <c r="G17" s="2">
        <v>822</v>
      </c>
      <c r="H17" t="s">
        <v>18</v>
      </c>
      <c r="I17" t="s">
        <v>26</v>
      </c>
      <c r="J17" t="s">
        <v>29</v>
      </c>
      <c r="K17" t="s">
        <v>87</v>
      </c>
      <c r="L17" t="s">
        <v>12</v>
      </c>
      <c r="M17">
        <f>5070*1.852</f>
        <v>9389.6400000000012</v>
      </c>
      <c r="N17" s="2">
        <v>46</v>
      </c>
    </row>
    <row r="18" spans="1:14" ht="16" x14ac:dyDescent="0.2">
      <c r="A18" s="2" t="s">
        <v>10</v>
      </c>
      <c r="B18" s="2" t="s">
        <v>10</v>
      </c>
      <c r="C18" s="2"/>
      <c r="D18" t="s">
        <v>18</v>
      </c>
      <c r="E18" s="2" t="s">
        <v>15</v>
      </c>
      <c r="F18" s="2" t="s">
        <v>10</v>
      </c>
      <c r="G18" s="2">
        <v>200</v>
      </c>
      <c r="H18" t="s">
        <v>18</v>
      </c>
      <c r="I18" t="s">
        <v>29</v>
      </c>
      <c r="J18" t="s">
        <v>29</v>
      </c>
      <c r="K18" t="s">
        <v>87</v>
      </c>
      <c r="L18" t="s">
        <v>12</v>
      </c>
      <c r="N18" s="2">
        <v>47</v>
      </c>
    </row>
    <row r="19" spans="1:14" ht="16" x14ac:dyDescent="0.2">
      <c r="A19" s="2" t="s">
        <v>56</v>
      </c>
      <c r="B19" s="2" t="s">
        <v>48</v>
      </c>
      <c r="C19" s="2">
        <v>822</v>
      </c>
      <c r="D19" t="s">
        <v>18</v>
      </c>
      <c r="E19" s="2" t="s">
        <v>34</v>
      </c>
      <c r="F19" s="2" t="s">
        <v>35</v>
      </c>
      <c r="G19" s="2">
        <v>200</v>
      </c>
      <c r="H19" t="s">
        <v>18</v>
      </c>
      <c r="I19" t="s">
        <v>29</v>
      </c>
      <c r="J19" t="s">
        <v>11</v>
      </c>
      <c r="K19" t="s">
        <v>12</v>
      </c>
      <c r="L19" t="s">
        <v>14</v>
      </c>
      <c r="M19">
        <f>9597*1.852</f>
        <v>17773.644</v>
      </c>
      <c r="N19" s="2">
        <v>11</v>
      </c>
    </row>
    <row r="20" spans="1:14" ht="16" x14ac:dyDescent="0.2">
      <c r="A20" s="2" t="s">
        <v>10</v>
      </c>
      <c r="B20" s="2" t="s">
        <v>10</v>
      </c>
      <c r="C20" s="2"/>
      <c r="D20" t="s">
        <v>18</v>
      </c>
      <c r="E20" s="2" t="s">
        <v>49</v>
      </c>
      <c r="F20" s="2" t="s">
        <v>50</v>
      </c>
      <c r="G20" s="2">
        <v>545</v>
      </c>
      <c r="H20" t="s">
        <v>18</v>
      </c>
      <c r="I20" t="s">
        <v>23</v>
      </c>
      <c r="J20" t="s">
        <v>23</v>
      </c>
      <c r="K20" t="s">
        <v>87</v>
      </c>
      <c r="L20" t="s">
        <v>12</v>
      </c>
      <c r="N20" s="2">
        <v>48</v>
      </c>
    </row>
    <row r="21" spans="1:14" ht="16" x14ac:dyDescent="0.2">
      <c r="A21" s="2" t="s">
        <v>72</v>
      </c>
      <c r="B21" s="2" t="s">
        <v>50</v>
      </c>
      <c r="C21" s="2">
        <v>712</v>
      </c>
      <c r="D21" t="s">
        <v>18</v>
      </c>
      <c r="E21" s="2" t="s">
        <v>34</v>
      </c>
      <c r="F21" s="2" t="s">
        <v>35</v>
      </c>
      <c r="G21" s="2">
        <v>200</v>
      </c>
      <c r="H21" t="s">
        <v>18</v>
      </c>
      <c r="I21" t="s">
        <v>23</v>
      </c>
      <c r="J21" t="s">
        <v>11</v>
      </c>
      <c r="K21" t="s">
        <v>12</v>
      </c>
      <c r="L21" t="s">
        <v>14</v>
      </c>
      <c r="M21">
        <f>7015*1.852</f>
        <v>12991.78</v>
      </c>
      <c r="N21" s="2">
        <v>12</v>
      </c>
    </row>
    <row r="22" spans="1:14" ht="16" x14ac:dyDescent="0.2">
      <c r="A22" s="2" t="s">
        <v>10</v>
      </c>
      <c r="B22" s="2" t="s">
        <v>10</v>
      </c>
      <c r="C22" s="2"/>
      <c r="D22" t="s">
        <v>18</v>
      </c>
      <c r="E22" s="2" t="s">
        <v>46</v>
      </c>
      <c r="F22" s="2" t="s">
        <v>10</v>
      </c>
      <c r="G22" s="2">
        <v>5</v>
      </c>
      <c r="H22" t="s">
        <v>18</v>
      </c>
      <c r="I22" t="s">
        <v>30</v>
      </c>
      <c r="J22" t="s">
        <v>30</v>
      </c>
      <c r="K22" t="s">
        <v>87</v>
      </c>
      <c r="L22" t="s">
        <v>12</v>
      </c>
      <c r="N22" s="2">
        <v>49</v>
      </c>
    </row>
    <row r="23" spans="1:14" ht="16" x14ac:dyDescent="0.2">
      <c r="A23" s="2" t="s">
        <v>73</v>
      </c>
      <c r="B23" s="2" t="s">
        <v>74</v>
      </c>
      <c r="C23" s="2">
        <v>2511</v>
      </c>
      <c r="D23" t="s">
        <v>18</v>
      </c>
      <c r="E23" s="2" t="s">
        <v>34</v>
      </c>
      <c r="F23" s="2" t="s">
        <v>35</v>
      </c>
      <c r="G23" s="2">
        <v>200</v>
      </c>
      <c r="H23" t="s">
        <v>18</v>
      </c>
      <c r="I23" t="s">
        <v>30</v>
      </c>
      <c r="J23" t="s">
        <v>11</v>
      </c>
      <c r="K23" t="s">
        <v>12</v>
      </c>
      <c r="L23" t="s">
        <v>14</v>
      </c>
      <c r="M23">
        <f>7015*1.852</f>
        <v>12991.78</v>
      </c>
      <c r="N23" s="2">
        <v>13</v>
      </c>
    </row>
    <row r="24" spans="1:14" ht="16" x14ac:dyDescent="0.2">
      <c r="A24" s="2" t="s">
        <v>10</v>
      </c>
      <c r="B24" s="2" t="s">
        <v>10</v>
      </c>
      <c r="C24" s="2"/>
      <c r="D24" t="s">
        <v>18</v>
      </c>
      <c r="E24" s="2" t="s">
        <v>32</v>
      </c>
      <c r="F24" s="2" t="s">
        <v>33</v>
      </c>
      <c r="G24" s="2">
        <v>546</v>
      </c>
      <c r="H24" t="s">
        <v>18</v>
      </c>
      <c r="I24" t="s">
        <v>11</v>
      </c>
      <c r="J24" t="s">
        <v>11</v>
      </c>
      <c r="K24" t="s">
        <v>87</v>
      </c>
      <c r="L24" t="s">
        <v>12</v>
      </c>
      <c r="N24" s="2">
        <v>50</v>
      </c>
    </row>
    <row r="25" spans="1:14" ht="16" x14ac:dyDescent="0.2">
      <c r="A25" s="2" t="s">
        <v>61</v>
      </c>
      <c r="B25" s="2" t="s">
        <v>62</v>
      </c>
      <c r="C25" s="2">
        <v>2030</v>
      </c>
      <c r="D25" t="s">
        <v>18</v>
      </c>
      <c r="E25" s="2" t="s">
        <v>34</v>
      </c>
      <c r="F25" s="2" t="s">
        <v>35</v>
      </c>
      <c r="G25" s="2">
        <v>200</v>
      </c>
      <c r="H25" t="s">
        <v>18</v>
      </c>
      <c r="I25" t="s">
        <v>26</v>
      </c>
      <c r="J25" t="s">
        <v>11</v>
      </c>
      <c r="K25" t="s">
        <v>87</v>
      </c>
      <c r="L25" t="s">
        <v>12</v>
      </c>
      <c r="M25">
        <f>8931*1.852</f>
        <v>16540.212</v>
      </c>
      <c r="N25" s="2">
        <v>51</v>
      </c>
    </row>
    <row r="26" spans="1:14" ht="16" x14ac:dyDescent="0.2">
      <c r="A26" s="2" t="s">
        <v>34</v>
      </c>
      <c r="B26" s="2" t="s">
        <v>35</v>
      </c>
      <c r="C26" s="2">
        <v>200</v>
      </c>
      <c r="D26" t="s">
        <v>18</v>
      </c>
      <c r="E26" s="2" t="s">
        <v>15</v>
      </c>
      <c r="F26" s="2" t="s">
        <v>10</v>
      </c>
      <c r="G26" s="2">
        <v>200</v>
      </c>
      <c r="H26" t="s">
        <v>18</v>
      </c>
      <c r="I26" t="s">
        <v>11</v>
      </c>
      <c r="J26" t="s">
        <v>16</v>
      </c>
      <c r="K26" t="s">
        <v>12</v>
      </c>
      <c r="L26" t="s">
        <v>14</v>
      </c>
      <c r="M26">
        <f>761*1.852</f>
        <v>1409.3720000000001</v>
      </c>
      <c r="N26" s="2">
        <v>14</v>
      </c>
    </row>
    <row r="27" spans="1:14" ht="16" x14ac:dyDescent="0.2">
      <c r="A27" s="2" t="s">
        <v>10</v>
      </c>
      <c r="B27" s="2" t="s">
        <v>10</v>
      </c>
      <c r="C27" s="2"/>
      <c r="D27" t="s">
        <v>18</v>
      </c>
      <c r="E27" s="2" t="s">
        <v>15</v>
      </c>
      <c r="F27" s="2" t="s">
        <v>10</v>
      </c>
      <c r="G27" s="2">
        <v>200</v>
      </c>
      <c r="H27" t="s">
        <v>18</v>
      </c>
      <c r="I27" t="s">
        <v>16</v>
      </c>
      <c r="J27" t="s">
        <v>16</v>
      </c>
      <c r="K27" t="s">
        <v>87</v>
      </c>
      <c r="L27" t="s">
        <v>12</v>
      </c>
      <c r="N27" s="2">
        <v>52</v>
      </c>
    </row>
    <row r="28" spans="1:14" ht="16" x14ac:dyDescent="0.2">
      <c r="A28" s="2" t="s">
        <v>10</v>
      </c>
      <c r="B28" s="2" t="s">
        <v>10</v>
      </c>
      <c r="C28" s="2"/>
      <c r="D28" t="s">
        <v>18</v>
      </c>
      <c r="E28" s="2" t="s">
        <v>15</v>
      </c>
      <c r="F28" s="2" t="s">
        <v>10</v>
      </c>
      <c r="G28" s="2">
        <v>200</v>
      </c>
      <c r="H28" t="s">
        <v>18</v>
      </c>
      <c r="I28" t="s">
        <v>16</v>
      </c>
      <c r="J28" t="s">
        <v>16</v>
      </c>
      <c r="K28" t="s">
        <v>12</v>
      </c>
      <c r="L28" t="s">
        <v>14</v>
      </c>
      <c r="N28" s="2">
        <v>15</v>
      </c>
    </row>
    <row r="29" spans="1:14" ht="17" x14ac:dyDescent="0.2">
      <c r="A29" s="2" t="s">
        <v>10</v>
      </c>
      <c r="B29" s="2" t="s">
        <v>10</v>
      </c>
      <c r="C29" s="2"/>
      <c r="D29" t="s">
        <v>18</v>
      </c>
      <c r="E29" s="3" t="s">
        <v>51</v>
      </c>
      <c r="F29" s="3" t="s">
        <v>52</v>
      </c>
      <c r="G29" s="2">
        <v>880</v>
      </c>
      <c r="H29" t="s">
        <v>18</v>
      </c>
      <c r="I29" t="s">
        <v>13</v>
      </c>
      <c r="J29" t="s">
        <v>13</v>
      </c>
      <c r="K29" t="s">
        <v>87</v>
      </c>
      <c r="L29" t="s">
        <v>12</v>
      </c>
      <c r="N29" s="2">
        <v>53</v>
      </c>
    </row>
    <row r="30" spans="1:14" ht="17" x14ac:dyDescent="0.2">
      <c r="A30" s="3" t="s">
        <v>39</v>
      </c>
      <c r="B30" s="3" t="s">
        <v>64</v>
      </c>
      <c r="C30" s="2">
        <v>20</v>
      </c>
      <c r="D30" t="s">
        <v>18</v>
      </c>
      <c r="E30" s="2" t="s">
        <v>15</v>
      </c>
      <c r="F30" s="2" t="s">
        <v>10</v>
      </c>
      <c r="G30" s="2">
        <v>200</v>
      </c>
      <c r="H30" t="s">
        <v>18</v>
      </c>
      <c r="I30" t="s">
        <v>13</v>
      </c>
      <c r="J30" t="s">
        <v>16</v>
      </c>
      <c r="K30" t="s">
        <v>12</v>
      </c>
      <c r="L30" t="s">
        <v>14</v>
      </c>
      <c r="M30">
        <f>4012*1.852</f>
        <v>7430.2240000000002</v>
      </c>
      <c r="N30" s="2">
        <v>16</v>
      </c>
    </row>
    <row r="31" spans="1:14" ht="17" x14ac:dyDescent="0.2">
      <c r="A31" s="2" t="s">
        <v>10</v>
      </c>
      <c r="B31" s="2" t="s">
        <v>10</v>
      </c>
      <c r="C31" s="2"/>
      <c r="D31" t="s">
        <v>18</v>
      </c>
      <c r="E31" s="3" t="s">
        <v>40</v>
      </c>
      <c r="F31" s="3" t="s">
        <v>41</v>
      </c>
      <c r="G31" s="2">
        <v>71</v>
      </c>
      <c r="H31" t="s">
        <v>18</v>
      </c>
      <c r="I31" t="s">
        <v>27</v>
      </c>
      <c r="J31" t="s">
        <v>27</v>
      </c>
      <c r="K31" t="s">
        <v>87</v>
      </c>
      <c r="L31" t="s">
        <v>12</v>
      </c>
      <c r="N31" s="2">
        <v>54</v>
      </c>
    </row>
    <row r="32" spans="1:14" ht="17" x14ac:dyDescent="0.2">
      <c r="A32" s="3" t="s">
        <v>75</v>
      </c>
      <c r="B32" s="3" t="s">
        <v>66</v>
      </c>
      <c r="C32" s="2">
        <v>52</v>
      </c>
      <c r="D32" t="s">
        <v>18</v>
      </c>
      <c r="E32" s="2" t="s">
        <v>15</v>
      </c>
      <c r="F32" s="2" t="s">
        <v>10</v>
      </c>
      <c r="G32" s="2">
        <v>200</v>
      </c>
      <c r="H32" t="s">
        <v>18</v>
      </c>
      <c r="I32" t="s">
        <v>27</v>
      </c>
      <c r="J32" t="s">
        <v>16</v>
      </c>
      <c r="K32" t="s">
        <v>12</v>
      </c>
      <c r="L32" t="s">
        <v>14</v>
      </c>
      <c r="M32">
        <f>10999*1.852</f>
        <v>20370.148000000001</v>
      </c>
      <c r="N32" s="2">
        <v>17</v>
      </c>
    </row>
    <row r="33" spans="1:14" ht="17" x14ac:dyDescent="0.2">
      <c r="A33" s="2" t="s">
        <v>10</v>
      </c>
      <c r="B33" s="2" t="s">
        <v>10</v>
      </c>
      <c r="C33" s="2"/>
      <c r="D33" t="s">
        <v>18</v>
      </c>
      <c r="E33" s="3" t="s">
        <v>42</v>
      </c>
      <c r="F33" s="3" t="s">
        <v>53</v>
      </c>
      <c r="G33" s="2">
        <v>500</v>
      </c>
      <c r="H33" t="s">
        <v>19</v>
      </c>
      <c r="I33" t="s">
        <v>21</v>
      </c>
      <c r="J33" t="s">
        <v>21</v>
      </c>
      <c r="K33" t="s">
        <v>87</v>
      </c>
      <c r="L33" t="s">
        <v>12</v>
      </c>
      <c r="N33" s="2">
        <v>55</v>
      </c>
    </row>
    <row r="34" spans="1:14" ht="17" x14ac:dyDescent="0.2">
      <c r="A34" s="3" t="s">
        <v>76</v>
      </c>
      <c r="B34" s="3" t="s">
        <v>53</v>
      </c>
      <c r="C34" s="2">
        <v>505</v>
      </c>
      <c r="D34" t="s">
        <v>19</v>
      </c>
      <c r="E34" s="2" t="s">
        <v>15</v>
      </c>
      <c r="F34" s="2" t="s">
        <v>10</v>
      </c>
      <c r="G34" s="2">
        <v>200</v>
      </c>
      <c r="H34" t="s">
        <v>18</v>
      </c>
      <c r="I34" t="s">
        <v>21</v>
      </c>
      <c r="J34" t="s">
        <v>16</v>
      </c>
      <c r="K34" t="s">
        <v>12</v>
      </c>
      <c r="L34" t="s">
        <v>14</v>
      </c>
      <c r="M34">
        <f>10663*1.852</f>
        <v>19747.876</v>
      </c>
      <c r="N34" s="2">
        <v>18</v>
      </c>
    </row>
    <row r="35" spans="1:14" ht="17" x14ac:dyDescent="0.2">
      <c r="A35" s="2" t="s">
        <v>10</v>
      </c>
      <c r="B35" s="2" t="s">
        <v>10</v>
      </c>
      <c r="C35" s="2"/>
      <c r="D35" t="s">
        <v>18</v>
      </c>
      <c r="E35" s="3" t="s">
        <v>44</v>
      </c>
      <c r="F35" s="3" t="s">
        <v>45</v>
      </c>
      <c r="G35" s="2">
        <v>300</v>
      </c>
      <c r="H35" t="s">
        <v>18</v>
      </c>
      <c r="I35" t="s">
        <v>22</v>
      </c>
      <c r="J35" t="s">
        <v>22</v>
      </c>
      <c r="K35" t="s">
        <v>87</v>
      </c>
      <c r="L35" t="s">
        <v>12</v>
      </c>
      <c r="N35" s="2">
        <v>56</v>
      </c>
    </row>
    <row r="36" spans="1:14" ht="16" x14ac:dyDescent="0.2">
      <c r="A36" s="2" t="s">
        <v>68</v>
      </c>
      <c r="B36" s="2" t="s">
        <v>69</v>
      </c>
      <c r="C36" s="2">
        <v>227</v>
      </c>
      <c r="D36" t="s">
        <v>18</v>
      </c>
      <c r="E36" s="2" t="s">
        <v>15</v>
      </c>
      <c r="F36" s="2" t="s">
        <v>10</v>
      </c>
      <c r="G36" s="2">
        <v>200</v>
      </c>
      <c r="H36" t="s">
        <v>18</v>
      </c>
      <c r="I36" t="s">
        <v>22</v>
      </c>
      <c r="J36" t="s">
        <v>16</v>
      </c>
      <c r="K36" t="s">
        <v>12</v>
      </c>
      <c r="L36" t="s">
        <v>14</v>
      </c>
      <c r="M36">
        <f>12040*1.852</f>
        <v>22298.080000000002</v>
      </c>
      <c r="N36" s="2">
        <v>19</v>
      </c>
    </row>
    <row r="37" spans="1:14" ht="16" x14ac:dyDescent="0.2">
      <c r="A37" s="2" t="s">
        <v>10</v>
      </c>
      <c r="B37" s="2" t="s">
        <v>10</v>
      </c>
      <c r="E37" s="2" t="s">
        <v>54</v>
      </c>
      <c r="F37" s="2" t="s">
        <v>55</v>
      </c>
      <c r="G37" s="2">
        <v>1444</v>
      </c>
      <c r="H37" t="s">
        <v>19</v>
      </c>
      <c r="I37" t="s">
        <v>31</v>
      </c>
      <c r="J37" t="s">
        <v>31</v>
      </c>
      <c r="K37" t="s">
        <v>87</v>
      </c>
      <c r="L37" t="s">
        <v>12</v>
      </c>
      <c r="N37" s="2">
        <v>57</v>
      </c>
    </row>
    <row r="38" spans="1:14" ht="16" x14ac:dyDescent="0.2">
      <c r="A38" s="2" t="s">
        <v>54</v>
      </c>
      <c r="B38" s="2" t="s">
        <v>77</v>
      </c>
      <c r="C38" s="2">
        <v>590</v>
      </c>
      <c r="D38" t="s">
        <v>18</v>
      </c>
      <c r="E38" s="2" t="s">
        <v>15</v>
      </c>
      <c r="F38" s="2" t="s">
        <v>10</v>
      </c>
      <c r="G38" s="2">
        <v>200</v>
      </c>
      <c r="H38" t="s">
        <v>18</v>
      </c>
      <c r="I38" t="s">
        <v>31</v>
      </c>
      <c r="J38" t="s">
        <v>16</v>
      </c>
      <c r="K38" t="s">
        <v>12</v>
      </c>
      <c r="L38" t="s">
        <v>14</v>
      </c>
      <c r="M38">
        <f>4641*1.852</f>
        <v>8595.1319999999996</v>
      </c>
      <c r="N38" s="2">
        <v>20</v>
      </c>
    </row>
    <row r="39" spans="1:14" ht="16" x14ac:dyDescent="0.2">
      <c r="A39" s="2" t="s">
        <v>10</v>
      </c>
      <c r="B39" s="2" t="s">
        <v>10</v>
      </c>
      <c r="C39" s="2"/>
      <c r="D39" t="s">
        <v>18</v>
      </c>
      <c r="E39" s="2" t="s">
        <v>46</v>
      </c>
      <c r="F39" s="2" t="s">
        <v>10</v>
      </c>
      <c r="G39" s="2">
        <v>5</v>
      </c>
      <c r="H39" t="s">
        <v>18</v>
      </c>
      <c r="I39" t="s">
        <v>28</v>
      </c>
      <c r="J39" t="s">
        <v>28</v>
      </c>
      <c r="K39" t="s">
        <v>87</v>
      </c>
      <c r="L39" t="s">
        <v>12</v>
      </c>
      <c r="N39" s="2">
        <v>58</v>
      </c>
    </row>
    <row r="40" spans="1:14" ht="16" x14ac:dyDescent="0.2">
      <c r="A40" s="2" t="s">
        <v>78</v>
      </c>
      <c r="B40" s="2" t="s">
        <v>71</v>
      </c>
      <c r="C40" s="2">
        <v>240</v>
      </c>
      <c r="D40" t="s">
        <v>18</v>
      </c>
      <c r="E40" s="2" t="s">
        <v>15</v>
      </c>
      <c r="F40" s="2" t="s">
        <v>10</v>
      </c>
      <c r="G40" s="2">
        <v>200</v>
      </c>
      <c r="H40" t="s">
        <v>18</v>
      </c>
      <c r="I40" t="s">
        <v>28</v>
      </c>
      <c r="J40" t="s">
        <v>16</v>
      </c>
      <c r="K40" t="s">
        <v>12</v>
      </c>
      <c r="L40" t="s">
        <v>14</v>
      </c>
      <c r="M40">
        <f>6380*1.852</f>
        <v>11815.76</v>
      </c>
      <c r="N40" s="2">
        <v>21</v>
      </c>
    </row>
    <row r="41" spans="1:14" ht="16" x14ac:dyDescent="0.2">
      <c r="A41" s="2" t="s">
        <v>61</v>
      </c>
      <c r="B41" s="2" t="s">
        <v>62</v>
      </c>
      <c r="C41" s="2">
        <v>2030</v>
      </c>
      <c r="D41" t="s">
        <v>18</v>
      </c>
      <c r="E41" s="2" t="s">
        <v>56</v>
      </c>
      <c r="F41" s="2" t="s">
        <v>48</v>
      </c>
      <c r="G41" s="2">
        <v>822</v>
      </c>
      <c r="H41" t="s">
        <v>18</v>
      </c>
      <c r="I41" t="s">
        <v>26</v>
      </c>
      <c r="J41" t="s">
        <v>29</v>
      </c>
      <c r="K41" t="s">
        <v>87</v>
      </c>
      <c r="L41" t="s">
        <v>12</v>
      </c>
      <c r="M41">
        <f>3451*1.852</f>
        <v>6391.2520000000004</v>
      </c>
      <c r="N41" s="2">
        <v>59</v>
      </c>
    </row>
    <row r="42" spans="1:14" ht="16" x14ac:dyDescent="0.2">
      <c r="A42" s="2" t="s">
        <v>10</v>
      </c>
      <c r="B42" s="2" t="s">
        <v>10</v>
      </c>
      <c r="C42" s="2"/>
      <c r="D42" t="s">
        <v>18</v>
      </c>
      <c r="E42" s="2" t="s">
        <v>15</v>
      </c>
      <c r="F42" s="2" t="s">
        <v>10</v>
      </c>
      <c r="G42" s="2">
        <v>200</v>
      </c>
      <c r="H42" t="s">
        <v>18</v>
      </c>
      <c r="I42" t="s">
        <v>29</v>
      </c>
      <c r="J42" t="s">
        <v>29</v>
      </c>
      <c r="K42" t="s">
        <v>87</v>
      </c>
      <c r="L42" t="s">
        <v>12</v>
      </c>
      <c r="N42" s="2">
        <v>60</v>
      </c>
    </row>
    <row r="43" spans="1:14" ht="16" x14ac:dyDescent="0.2">
      <c r="A43" s="2" t="s">
        <v>56</v>
      </c>
      <c r="B43" s="2" t="s">
        <v>48</v>
      </c>
      <c r="C43" s="2">
        <v>822</v>
      </c>
      <c r="D43" t="s">
        <v>18</v>
      </c>
      <c r="E43" s="2" t="s">
        <v>15</v>
      </c>
      <c r="F43" s="2" t="s">
        <v>10</v>
      </c>
      <c r="G43" s="2">
        <v>200</v>
      </c>
      <c r="H43" t="s">
        <v>18</v>
      </c>
      <c r="I43" t="s">
        <v>29</v>
      </c>
      <c r="J43" t="s">
        <v>16</v>
      </c>
      <c r="K43" t="s">
        <v>12</v>
      </c>
      <c r="L43" t="s">
        <v>14</v>
      </c>
      <c r="M43">
        <f>10066*1.852</f>
        <v>18642.232</v>
      </c>
      <c r="N43" s="2">
        <v>22</v>
      </c>
    </row>
    <row r="44" spans="1:14" ht="16" x14ac:dyDescent="0.2">
      <c r="A44" s="2" t="s">
        <v>10</v>
      </c>
      <c r="B44" s="2" t="s">
        <v>10</v>
      </c>
      <c r="C44" s="2"/>
      <c r="D44" t="s">
        <v>18</v>
      </c>
      <c r="E44" s="2" t="s">
        <v>57</v>
      </c>
      <c r="F44" s="2" t="s">
        <v>58</v>
      </c>
      <c r="G44" s="2">
        <v>317</v>
      </c>
      <c r="H44" t="s">
        <v>18</v>
      </c>
      <c r="I44" t="s">
        <v>20</v>
      </c>
      <c r="J44" t="s">
        <v>20</v>
      </c>
      <c r="K44" t="s">
        <v>87</v>
      </c>
      <c r="L44" t="s">
        <v>12</v>
      </c>
      <c r="N44" s="2">
        <v>61</v>
      </c>
    </row>
    <row r="45" spans="1:14" ht="16" x14ac:dyDescent="0.2">
      <c r="A45" s="2" t="s">
        <v>79</v>
      </c>
      <c r="B45" s="2" t="s">
        <v>58</v>
      </c>
      <c r="C45" s="2">
        <v>300</v>
      </c>
      <c r="D45" t="s">
        <v>18</v>
      </c>
      <c r="E45" s="2" t="s">
        <v>50</v>
      </c>
      <c r="F45" s="2" t="s">
        <v>10</v>
      </c>
      <c r="G45" s="2">
        <v>200</v>
      </c>
      <c r="H45" t="s">
        <v>18</v>
      </c>
      <c r="I45" t="s">
        <v>20</v>
      </c>
      <c r="J45" t="s">
        <v>16</v>
      </c>
      <c r="K45" t="s">
        <v>12</v>
      </c>
      <c r="L45" t="s">
        <v>14</v>
      </c>
      <c r="M45">
        <f>11697*1.852</f>
        <v>21662.844000000001</v>
      </c>
      <c r="N45" s="2">
        <v>23</v>
      </c>
    </row>
    <row r="46" spans="1:14" ht="16" x14ac:dyDescent="0.2">
      <c r="A46" s="2" t="s">
        <v>10</v>
      </c>
      <c r="B46" s="2" t="s">
        <v>10</v>
      </c>
      <c r="C46" s="2"/>
      <c r="D46" t="s">
        <v>18</v>
      </c>
      <c r="E46" s="2" t="s">
        <v>49</v>
      </c>
      <c r="F46" s="2" t="s">
        <v>50</v>
      </c>
      <c r="G46" s="2">
        <v>545</v>
      </c>
      <c r="H46" t="s">
        <v>18</v>
      </c>
      <c r="I46" t="s">
        <v>23</v>
      </c>
      <c r="J46" t="s">
        <v>23</v>
      </c>
      <c r="K46" t="s">
        <v>87</v>
      </c>
      <c r="L46" t="s">
        <v>12</v>
      </c>
      <c r="N46" s="2">
        <v>62</v>
      </c>
    </row>
    <row r="47" spans="1:14" ht="16" x14ac:dyDescent="0.2">
      <c r="A47" s="2" t="s">
        <v>80</v>
      </c>
      <c r="B47" s="2" t="s">
        <v>50</v>
      </c>
      <c r="C47" s="2">
        <v>712</v>
      </c>
      <c r="D47" t="s">
        <v>18</v>
      </c>
      <c r="E47" s="2" t="s">
        <v>50</v>
      </c>
      <c r="F47" s="2" t="s">
        <v>10</v>
      </c>
      <c r="G47" s="2">
        <v>200</v>
      </c>
      <c r="H47" t="s">
        <v>18</v>
      </c>
      <c r="I47" t="s">
        <v>23</v>
      </c>
      <c r="J47" t="s">
        <v>16</v>
      </c>
      <c r="K47" t="s">
        <v>12</v>
      </c>
      <c r="L47" t="s">
        <v>14</v>
      </c>
      <c r="M47">
        <f>8164*1.852</f>
        <v>15119.728000000001</v>
      </c>
      <c r="N47" s="2">
        <v>24</v>
      </c>
    </row>
    <row r="48" spans="1:14" ht="16" x14ac:dyDescent="0.2">
      <c r="A48" s="2" t="s">
        <v>10</v>
      </c>
      <c r="B48" s="2" t="s">
        <v>10</v>
      </c>
      <c r="C48" s="2"/>
      <c r="D48" t="s">
        <v>18</v>
      </c>
      <c r="E48" s="2" t="s">
        <v>46</v>
      </c>
      <c r="F48" s="2" t="s">
        <v>10</v>
      </c>
      <c r="G48" s="2">
        <v>5</v>
      </c>
      <c r="H48" t="s">
        <v>18</v>
      </c>
      <c r="I48" t="s">
        <v>30</v>
      </c>
      <c r="J48" t="s">
        <v>30</v>
      </c>
      <c r="K48" t="s">
        <v>87</v>
      </c>
      <c r="L48" t="s">
        <v>12</v>
      </c>
      <c r="N48" s="2">
        <v>63</v>
      </c>
    </row>
    <row r="49" spans="1:14" ht="16" x14ac:dyDescent="0.2">
      <c r="A49" s="2" t="s">
        <v>73</v>
      </c>
      <c r="B49" s="2" t="s">
        <v>74</v>
      </c>
      <c r="C49" s="2">
        <v>2511</v>
      </c>
      <c r="D49" t="s">
        <v>18</v>
      </c>
      <c r="E49" s="2" t="s">
        <v>15</v>
      </c>
      <c r="F49" s="2" t="s">
        <v>10</v>
      </c>
      <c r="G49" s="2">
        <v>200</v>
      </c>
      <c r="H49" t="s">
        <v>18</v>
      </c>
      <c r="I49" t="s">
        <v>30</v>
      </c>
      <c r="J49" t="s">
        <v>16</v>
      </c>
      <c r="K49" t="s">
        <v>12</v>
      </c>
      <c r="L49" t="s">
        <v>14</v>
      </c>
      <c r="N49" s="2">
        <v>25</v>
      </c>
    </row>
    <row r="50" spans="1:14" ht="16" x14ac:dyDescent="0.2">
      <c r="A50" s="2" t="s">
        <v>34</v>
      </c>
      <c r="B50" s="2" t="s">
        <v>35</v>
      </c>
      <c r="C50" s="2">
        <v>200</v>
      </c>
      <c r="D50" t="s">
        <v>18</v>
      </c>
      <c r="E50" s="2" t="s">
        <v>32</v>
      </c>
      <c r="F50" s="2" t="s">
        <v>33</v>
      </c>
      <c r="G50" s="2">
        <v>546</v>
      </c>
      <c r="H50" t="s">
        <v>18</v>
      </c>
      <c r="I50" t="s">
        <v>11</v>
      </c>
      <c r="J50" t="s">
        <v>11</v>
      </c>
      <c r="K50" t="s">
        <v>87</v>
      </c>
      <c r="L50" t="s">
        <v>12</v>
      </c>
      <c r="N50" s="2">
        <v>64</v>
      </c>
    </row>
    <row r="51" spans="1:14" ht="16" x14ac:dyDescent="0.2">
      <c r="A51" s="2" t="s">
        <v>61</v>
      </c>
      <c r="B51" s="2" t="s">
        <v>62</v>
      </c>
      <c r="C51" s="2">
        <v>2030</v>
      </c>
      <c r="D51" t="s">
        <v>18</v>
      </c>
      <c r="E51" s="2" t="s">
        <v>34</v>
      </c>
      <c r="F51" s="2" t="s">
        <v>35</v>
      </c>
      <c r="G51" s="2">
        <v>200</v>
      </c>
      <c r="H51" t="s">
        <v>18</v>
      </c>
      <c r="I51" t="s">
        <v>26</v>
      </c>
      <c r="J51" t="s">
        <v>11</v>
      </c>
      <c r="K51" t="s">
        <v>87</v>
      </c>
      <c r="L51" t="s">
        <v>12</v>
      </c>
      <c r="M51">
        <f>8931*1.852</f>
        <v>16540.212</v>
      </c>
      <c r="N51" s="2">
        <v>65</v>
      </c>
    </row>
    <row r="52" spans="1:14" ht="16" x14ac:dyDescent="0.2">
      <c r="A52" s="2" t="s">
        <v>34</v>
      </c>
      <c r="B52" s="2" t="s">
        <v>35</v>
      </c>
      <c r="C52" s="2">
        <v>200</v>
      </c>
      <c r="D52" t="s">
        <v>18</v>
      </c>
      <c r="E52" s="2" t="s">
        <v>15</v>
      </c>
      <c r="F52" s="2" t="s">
        <v>10</v>
      </c>
      <c r="G52" s="2">
        <v>200</v>
      </c>
      <c r="H52" t="s">
        <v>18</v>
      </c>
      <c r="I52" t="s">
        <v>11</v>
      </c>
      <c r="J52" t="s">
        <v>17</v>
      </c>
      <c r="K52" t="s">
        <v>12</v>
      </c>
      <c r="L52" t="s">
        <v>14</v>
      </c>
      <c r="M52">
        <v>911.18400000000008</v>
      </c>
      <c r="N52" s="2">
        <v>26</v>
      </c>
    </row>
    <row r="53" spans="1:14" ht="16" x14ac:dyDescent="0.2">
      <c r="A53" s="2" t="s">
        <v>10</v>
      </c>
      <c r="B53" s="2" t="s">
        <v>10</v>
      </c>
      <c r="C53" s="2"/>
      <c r="D53" t="s">
        <v>18</v>
      </c>
      <c r="E53" s="2" t="s">
        <v>15</v>
      </c>
      <c r="F53" s="2" t="s">
        <v>10</v>
      </c>
      <c r="G53" s="2">
        <v>200</v>
      </c>
      <c r="H53" t="s">
        <v>18</v>
      </c>
      <c r="I53" t="s">
        <v>16</v>
      </c>
      <c r="J53" t="s">
        <v>16</v>
      </c>
      <c r="K53" t="s">
        <v>87</v>
      </c>
      <c r="L53" t="s">
        <v>12</v>
      </c>
      <c r="N53" s="2">
        <v>66</v>
      </c>
    </row>
    <row r="54" spans="1:14" ht="16" x14ac:dyDescent="0.2">
      <c r="A54" s="2" t="s">
        <v>15</v>
      </c>
      <c r="B54" s="2" t="s">
        <v>10</v>
      </c>
      <c r="C54" s="2">
        <v>200</v>
      </c>
      <c r="D54" t="s">
        <v>18</v>
      </c>
      <c r="E54" s="2" t="s">
        <v>15</v>
      </c>
      <c r="F54" s="2" t="s">
        <v>10</v>
      </c>
      <c r="G54" s="2">
        <v>200</v>
      </c>
      <c r="H54" t="s">
        <v>18</v>
      </c>
      <c r="I54" t="s">
        <v>16</v>
      </c>
      <c r="J54" t="s">
        <v>17</v>
      </c>
      <c r="K54" t="s">
        <v>12</v>
      </c>
      <c r="L54" t="s">
        <v>14</v>
      </c>
      <c r="M54">
        <f>8164*1.852</f>
        <v>15119.728000000001</v>
      </c>
      <c r="N54" s="2">
        <v>27</v>
      </c>
    </row>
    <row r="55" spans="1:14" ht="16" x14ac:dyDescent="0.2">
      <c r="A55" s="2" t="s">
        <v>10</v>
      </c>
      <c r="B55" s="2" t="s">
        <v>10</v>
      </c>
      <c r="C55" s="2"/>
      <c r="D55" t="s">
        <v>18</v>
      </c>
      <c r="E55" s="2" t="s">
        <v>36</v>
      </c>
      <c r="F55" s="2" t="s">
        <v>37</v>
      </c>
      <c r="G55" s="2">
        <v>220</v>
      </c>
      <c r="H55" t="s">
        <v>18</v>
      </c>
      <c r="I55" t="s">
        <v>26</v>
      </c>
      <c r="J55" t="s">
        <v>26</v>
      </c>
      <c r="K55" t="s">
        <v>87</v>
      </c>
      <c r="L55" t="s">
        <v>12</v>
      </c>
      <c r="N55" s="2">
        <v>67</v>
      </c>
    </row>
    <row r="56" spans="1:14" ht="16" x14ac:dyDescent="0.2">
      <c r="A56" s="2" t="s">
        <v>61</v>
      </c>
      <c r="B56" s="2" t="s">
        <v>62</v>
      </c>
      <c r="C56" s="2">
        <v>2030</v>
      </c>
      <c r="D56" t="s">
        <v>18</v>
      </c>
      <c r="E56" s="2" t="s">
        <v>15</v>
      </c>
      <c r="F56" s="2" t="s">
        <v>10</v>
      </c>
      <c r="G56" s="2">
        <v>200</v>
      </c>
      <c r="H56" t="s">
        <v>18</v>
      </c>
      <c r="I56" t="s">
        <v>26</v>
      </c>
      <c r="J56" t="s">
        <v>17</v>
      </c>
      <c r="K56" t="s">
        <v>12</v>
      </c>
      <c r="L56" t="s">
        <v>14</v>
      </c>
      <c r="M56">
        <f>9781*1.852</f>
        <v>18114.412</v>
      </c>
      <c r="N56" s="2">
        <v>28</v>
      </c>
    </row>
    <row r="57" spans="1:14" ht="17" x14ac:dyDescent="0.2">
      <c r="A57" s="2" t="s">
        <v>10</v>
      </c>
      <c r="B57" s="2" t="s">
        <v>10</v>
      </c>
      <c r="C57" s="2"/>
      <c r="D57" t="s">
        <v>18</v>
      </c>
      <c r="E57" s="3" t="s">
        <v>51</v>
      </c>
      <c r="F57" s="3" t="s">
        <v>52</v>
      </c>
      <c r="G57" s="2">
        <v>880</v>
      </c>
      <c r="H57" t="s">
        <v>18</v>
      </c>
      <c r="I57" t="s">
        <v>13</v>
      </c>
      <c r="J57" t="s">
        <v>13</v>
      </c>
      <c r="K57" t="s">
        <v>87</v>
      </c>
      <c r="L57" t="s">
        <v>12</v>
      </c>
      <c r="N57" s="2">
        <v>68</v>
      </c>
    </row>
    <row r="58" spans="1:14" ht="16" x14ac:dyDescent="0.2">
      <c r="A58" s="2" t="s">
        <v>39</v>
      </c>
      <c r="B58" s="2" t="s">
        <v>64</v>
      </c>
      <c r="C58" s="2">
        <v>20</v>
      </c>
      <c r="D58" t="s">
        <v>18</v>
      </c>
      <c r="E58" s="2" t="s">
        <v>15</v>
      </c>
      <c r="F58" s="2" t="s">
        <v>10</v>
      </c>
      <c r="G58" s="2">
        <v>200</v>
      </c>
      <c r="H58" t="s">
        <v>18</v>
      </c>
      <c r="I58" t="s">
        <v>13</v>
      </c>
      <c r="J58" t="s">
        <v>17</v>
      </c>
      <c r="K58" t="s">
        <v>12</v>
      </c>
      <c r="L58" t="s">
        <v>14</v>
      </c>
      <c r="M58">
        <f>4071*1.852</f>
        <v>7539.4920000000002</v>
      </c>
      <c r="N58" s="2">
        <v>29</v>
      </c>
    </row>
    <row r="59" spans="1:14" ht="16" x14ac:dyDescent="0.2">
      <c r="A59" s="2" t="s">
        <v>10</v>
      </c>
      <c r="B59" s="2" t="s">
        <v>10</v>
      </c>
      <c r="C59" s="2"/>
      <c r="D59" t="s">
        <v>18</v>
      </c>
      <c r="E59" s="2" t="s">
        <v>59</v>
      </c>
      <c r="F59" s="2" t="s">
        <v>41</v>
      </c>
      <c r="G59" s="2">
        <v>71</v>
      </c>
      <c r="H59" t="s">
        <v>18</v>
      </c>
      <c r="I59" t="s">
        <v>27</v>
      </c>
      <c r="J59" t="s">
        <v>27</v>
      </c>
      <c r="K59" t="s">
        <v>87</v>
      </c>
      <c r="L59" t="s">
        <v>12</v>
      </c>
      <c r="N59" s="2">
        <v>69</v>
      </c>
    </row>
    <row r="60" spans="1:14" ht="16" x14ac:dyDescent="0.2">
      <c r="A60" s="2" t="s">
        <v>81</v>
      </c>
      <c r="B60" s="2" t="s">
        <v>66</v>
      </c>
      <c r="C60" s="2">
        <v>52</v>
      </c>
      <c r="D60" t="s">
        <v>18</v>
      </c>
      <c r="E60" s="2" t="s">
        <v>15</v>
      </c>
      <c r="F60" s="2" t="s">
        <v>10</v>
      </c>
      <c r="G60" s="2">
        <v>200</v>
      </c>
      <c r="H60" t="s">
        <v>18</v>
      </c>
      <c r="I60" t="s">
        <v>27</v>
      </c>
      <c r="J60" t="s">
        <v>17</v>
      </c>
      <c r="K60" t="s">
        <v>12</v>
      </c>
      <c r="L60" t="s">
        <v>14</v>
      </c>
      <c r="M60">
        <f>10796*1.852</f>
        <v>19994.192000000003</v>
      </c>
      <c r="N60" s="2">
        <v>30</v>
      </c>
    </row>
    <row r="61" spans="1:14" ht="16" x14ac:dyDescent="0.2">
      <c r="A61" s="2" t="s">
        <v>10</v>
      </c>
      <c r="B61" s="2" t="s">
        <v>10</v>
      </c>
      <c r="C61" s="2"/>
      <c r="D61" t="s">
        <v>18</v>
      </c>
      <c r="E61" s="2" t="s">
        <v>60</v>
      </c>
      <c r="F61" s="2" t="s">
        <v>43</v>
      </c>
      <c r="G61" s="2">
        <v>500</v>
      </c>
      <c r="H61" t="s">
        <v>19</v>
      </c>
      <c r="I61" t="s">
        <v>21</v>
      </c>
      <c r="J61" t="s">
        <v>21</v>
      </c>
      <c r="K61" t="s">
        <v>87</v>
      </c>
      <c r="L61" t="s">
        <v>12</v>
      </c>
      <c r="N61" s="2">
        <v>70</v>
      </c>
    </row>
    <row r="62" spans="1:14" ht="16" x14ac:dyDescent="0.2">
      <c r="A62" s="2" t="s">
        <v>76</v>
      </c>
      <c r="B62" s="2" t="s">
        <v>82</v>
      </c>
      <c r="C62" s="2">
        <v>505</v>
      </c>
      <c r="D62" t="s">
        <v>19</v>
      </c>
      <c r="E62" s="2" t="s">
        <v>15</v>
      </c>
      <c r="F62" s="2" t="s">
        <v>10</v>
      </c>
      <c r="G62" s="2">
        <v>200</v>
      </c>
      <c r="H62" t="s">
        <v>18</v>
      </c>
      <c r="I62" t="s">
        <v>21</v>
      </c>
      <c r="J62" t="s">
        <v>17</v>
      </c>
      <c r="K62" t="s">
        <v>12</v>
      </c>
      <c r="L62" t="s">
        <v>14</v>
      </c>
      <c r="M62">
        <f>10755*1.852</f>
        <v>19918.260000000002</v>
      </c>
      <c r="N62" s="2">
        <v>31</v>
      </c>
    </row>
    <row r="63" spans="1:14" ht="16" x14ac:dyDescent="0.2">
      <c r="A63" s="2" t="s">
        <v>10</v>
      </c>
      <c r="B63" s="2" t="s">
        <v>10</v>
      </c>
      <c r="C63" s="2"/>
      <c r="D63" t="s">
        <v>18</v>
      </c>
      <c r="E63" s="2" t="s">
        <v>44</v>
      </c>
      <c r="F63" s="2" t="s">
        <v>45</v>
      </c>
      <c r="G63" s="2">
        <v>300</v>
      </c>
      <c r="H63" t="s">
        <v>18</v>
      </c>
      <c r="I63" t="s">
        <v>22</v>
      </c>
      <c r="J63" t="s">
        <v>22</v>
      </c>
      <c r="K63" t="s">
        <v>87</v>
      </c>
      <c r="L63" t="s">
        <v>12</v>
      </c>
      <c r="N63" s="2">
        <v>71</v>
      </c>
    </row>
    <row r="64" spans="1:14" ht="16" x14ac:dyDescent="0.2">
      <c r="A64" s="2" t="s">
        <v>68</v>
      </c>
      <c r="B64" s="2" t="s">
        <v>69</v>
      </c>
      <c r="C64" s="2">
        <v>227</v>
      </c>
      <c r="D64" t="s">
        <v>18</v>
      </c>
      <c r="E64" s="2" t="s">
        <v>15</v>
      </c>
      <c r="F64" s="2" t="s">
        <v>10</v>
      </c>
      <c r="G64" s="2">
        <v>200</v>
      </c>
      <c r="H64" t="s">
        <v>18</v>
      </c>
      <c r="I64" t="s">
        <v>22</v>
      </c>
      <c r="J64" t="s">
        <v>17</v>
      </c>
      <c r="K64" t="s">
        <v>12</v>
      </c>
      <c r="L64" t="s">
        <v>14</v>
      </c>
      <c r="M64">
        <f>11837*1.852</f>
        <v>21922.124</v>
      </c>
      <c r="N64" s="2">
        <v>32</v>
      </c>
    </row>
    <row r="65" spans="1:14" ht="16" x14ac:dyDescent="0.2">
      <c r="A65" s="2" t="s">
        <v>10</v>
      </c>
      <c r="B65" s="2" t="s">
        <v>10</v>
      </c>
      <c r="E65" s="2" t="s">
        <v>54</v>
      </c>
      <c r="F65" s="2" t="s">
        <v>55</v>
      </c>
      <c r="G65" s="2">
        <v>1444</v>
      </c>
      <c r="H65" t="s">
        <v>19</v>
      </c>
      <c r="I65" t="s">
        <v>31</v>
      </c>
      <c r="J65" t="s">
        <v>31</v>
      </c>
      <c r="K65" t="s">
        <v>87</v>
      </c>
      <c r="L65" t="s">
        <v>12</v>
      </c>
      <c r="N65" s="2">
        <v>72</v>
      </c>
    </row>
    <row r="66" spans="1:14" ht="16" x14ac:dyDescent="0.2">
      <c r="A66" s="2" t="s">
        <v>54</v>
      </c>
      <c r="B66" s="2" t="s">
        <v>77</v>
      </c>
      <c r="C66" s="2">
        <v>590</v>
      </c>
      <c r="D66" t="s">
        <v>18</v>
      </c>
      <c r="E66" s="2" t="s">
        <v>15</v>
      </c>
      <c r="F66" s="2" t="s">
        <v>10</v>
      </c>
      <c r="G66" s="2">
        <v>200</v>
      </c>
      <c r="H66" t="s">
        <v>18</v>
      </c>
      <c r="I66" t="s">
        <v>31</v>
      </c>
      <c r="J66" t="s">
        <v>17</v>
      </c>
      <c r="K66" t="s">
        <v>87</v>
      </c>
      <c r="L66" t="s">
        <v>12</v>
      </c>
      <c r="M66">
        <f>4438*1.852</f>
        <v>8219.1760000000013</v>
      </c>
      <c r="N66" s="2">
        <v>33</v>
      </c>
    </row>
    <row r="67" spans="1:14" ht="16" x14ac:dyDescent="0.2">
      <c r="A67" s="2" t="s">
        <v>83</v>
      </c>
      <c r="B67" s="2" t="s">
        <v>62</v>
      </c>
      <c r="C67" s="2">
        <v>2030</v>
      </c>
      <c r="D67" t="s">
        <v>18</v>
      </c>
      <c r="E67" s="2" t="s">
        <v>56</v>
      </c>
      <c r="F67" s="2" t="s">
        <v>48</v>
      </c>
      <c r="G67" s="2">
        <v>822</v>
      </c>
      <c r="H67" t="s">
        <v>18</v>
      </c>
      <c r="I67" t="s">
        <v>26</v>
      </c>
      <c r="J67" t="s">
        <v>29</v>
      </c>
      <c r="K67" t="s">
        <v>12</v>
      </c>
      <c r="L67" t="s">
        <v>14</v>
      </c>
      <c r="M67">
        <f>3451*1.852</f>
        <v>6391.2520000000004</v>
      </c>
      <c r="N67" s="2">
        <v>73</v>
      </c>
    </row>
    <row r="68" spans="1:14" ht="16" x14ac:dyDescent="0.2">
      <c r="A68" s="2" t="s">
        <v>10</v>
      </c>
      <c r="B68" s="2" t="s">
        <v>10</v>
      </c>
      <c r="C68" s="2"/>
      <c r="D68" t="s">
        <v>18</v>
      </c>
      <c r="E68" s="2" t="s">
        <v>15</v>
      </c>
      <c r="F68" s="2" t="s">
        <v>10</v>
      </c>
      <c r="G68" s="2">
        <v>200</v>
      </c>
      <c r="H68" t="s">
        <v>18</v>
      </c>
      <c r="I68" t="s">
        <v>29</v>
      </c>
      <c r="J68" t="s">
        <v>29</v>
      </c>
      <c r="K68" t="s">
        <v>87</v>
      </c>
      <c r="L68" t="s">
        <v>12</v>
      </c>
      <c r="N68" s="2">
        <v>74</v>
      </c>
    </row>
    <row r="69" spans="1:14" ht="16" x14ac:dyDescent="0.2">
      <c r="A69" s="2" t="s">
        <v>56</v>
      </c>
      <c r="B69" s="2" t="s">
        <v>48</v>
      </c>
      <c r="C69" s="2">
        <v>822</v>
      </c>
      <c r="D69" t="s">
        <v>18</v>
      </c>
      <c r="E69" s="2" t="s">
        <v>15</v>
      </c>
      <c r="F69" s="2" t="s">
        <v>10</v>
      </c>
      <c r="G69" s="2">
        <v>200</v>
      </c>
      <c r="H69" t="s">
        <v>18</v>
      </c>
      <c r="I69" t="s">
        <v>29</v>
      </c>
      <c r="J69" t="s">
        <v>17</v>
      </c>
      <c r="K69" t="s">
        <v>12</v>
      </c>
      <c r="L69" t="s">
        <v>14</v>
      </c>
      <c r="M69">
        <f>9863*1.852</f>
        <v>18266.276000000002</v>
      </c>
      <c r="N69" s="2">
        <v>34</v>
      </c>
    </row>
    <row r="70" spans="1:14" ht="16" x14ac:dyDescent="0.2">
      <c r="A70" s="2" t="s">
        <v>10</v>
      </c>
      <c r="B70" s="2" t="s">
        <v>10</v>
      </c>
      <c r="C70" s="2"/>
      <c r="D70" t="s">
        <v>18</v>
      </c>
      <c r="E70" s="2" t="s">
        <v>57</v>
      </c>
      <c r="F70" s="2" t="s">
        <v>58</v>
      </c>
      <c r="G70" s="2">
        <v>317</v>
      </c>
      <c r="H70" t="s">
        <v>18</v>
      </c>
      <c r="I70" t="s">
        <v>20</v>
      </c>
      <c r="J70" t="s">
        <v>20</v>
      </c>
      <c r="K70" t="s">
        <v>87</v>
      </c>
      <c r="L70" t="s">
        <v>12</v>
      </c>
      <c r="N70" s="2">
        <v>75</v>
      </c>
    </row>
    <row r="71" spans="1:14" ht="16" x14ac:dyDescent="0.2">
      <c r="A71" s="2" t="s">
        <v>79</v>
      </c>
      <c r="B71" s="2" t="s">
        <v>58</v>
      </c>
      <c r="C71" s="2">
        <v>300</v>
      </c>
      <c r="D71" t="s">
        <v>18</v>
      </c>
      <c r="E71" s="2" t="s">
        <v>15</v>
      </c>
      <c r="F71" s="2" t="s">
        <v>10</v>
      </c>
      <c r="G71" s="2">
        <v>200</v>
      </c>
      <c r="H71" t="s">
        <v>18</v>
      </c>
      <c r="I71" t="s">
        <v>20</v>
      </c>
      <c r="J71" t="s">
        <v>17</v>
      </c>
      <c r="K71" t="s">
        <v>12</v>
      </c>
      <c r="L71" t="s">
        <v>14</v>
      </c>
      <c r="M71">
        <f>11384*1.852</f>
        <v>21083.168000000001</v>
      </c>
      <c r="N71" s="2">
        <v>35</v>
      </c>
    </row>
    <row r="72" spans="1:14" ht="16" x14ac:dyDescent="0.2">
      <c r="A72" s="2" t="s">
        <v>10</v>
      </c>
      <c r="B72" s="2" t="s">
        <v>10</v>
      </c>
      <c r="C72" s="2"/>
      <c r="D72" t="s">
        <v>18</v>
      </c>
      <c r="E72" s="2" t="s">
        <v>49</v>
      </c>
      <c r="F72" s="2" t="s">
        <v>50</v>
      </c>
      <c r="G72" s="2">
        <v>545</v>
      </c>
      <c r="H72" t="s">
        <v>18</v>
      </c>
      <c r="I72" t="s">
        <v>23</v>
      </c>
      <c r="J72" t="s">
        <v>23</v>
      </c>
      <c r="K72" t="s">
        <v>87</v>
      </c>
      <c r="L72" t="s">
        <v>12</v>
      </c>
      <c r="N72" s="2">
        <v>76</v>
      </c>
    </row>
    <row r="73" spans="1:14" ht="16" x14ac:dyDescent="0.2">
      <c r="A73" s="2" t="s">
        <v>72</v>
      </c>
      <c r="B73" s="2" t="s">
        <v>84</v>
      </c>
      <c r="C73" s="2">
        <v>712</v>
      </c>
      <c r="D73" t="s">
        <v>18</v>
      </c>
      <c r="E73" s="2" t="s">
        <v>15</v>
      </c>
      <c r="F73" s="2" t="s">
        <v>10</v>
      </c>
      <c r="G73" s="2">
        <v>200</v>
      </c>
      <c r="H73" t="s">
        <v>18</v>
      </c>
      <c r="I73" t="s">
        <v>23</v>
      </c>
      <c r="J73" t="s">
        <v>17</v>
      </c>
      <c r="K73" t="s">
        <v>12</v>
      </c>
      <c r="L73" t="s">
        <v>14</v>
      </c>
      <c r="M73">
        <f>7968*1.852</f>
        <v>14756.736000000001</v>
      </c>
      <c r="N73" s="2">
        <v>36</v>
      </c>
    </row>
    <row r="74" spans="1:14" ht="16" x14ac:dyDescent="0.2">
      <c r="A74" s="2" t="s">
        <v>10</v>
      </c>
      <c r="B74" s="2" t="s">
        <v>10</v>
      </c>
      <c r="C74" s="2"/>
      <c r="D74" t="s">
        <v>18</v>
      </c>
      <c r="E74" s="2" t="s">
        <v>46</v>
      </c>
      <c r="F74" s="2" t="s">
        <v>10</v>
      </c>
      <c r="G74" s="2">
        <v>5</v>
      </c>
      <c r="H74" t="s">
        <v>18</v>
      </c>
      <c r="I74" t="s">
        <v>30</v>
      </c>
      <c r="J74" t="s">
        <v>30</v>
      </c>
      <c r="K74" t="s">
        <v>87</v>
      </c>
      <c r="L74" t="s">
        <v>12</v>
      </c>
      <c r="N74" s="2">
        <v>77</v>
      </c>
    </row>
    <row r="75" spans="1:14" ht="16" x14ac:dyDescent="0.2">
      <c r="A75" s="2" t="s">
        <v>73</v>
      </c>
      <c r="B75" s="2" t="s">
        <v>74</v>
      </c>
      <c r="C75" s="2">
        <v>2511</v>
      </c>
      <c r="D75" t="s">
        <v>18</v>
      </c>
      <c r="E75" s="2" t="s">
        <v>15</v>
      </c>
      <c r="F75" s="2" t="s">
        <v>10</v>
      </c>
      <c r="G75" s="2">
        <v>200</v>
      </c>
      <c r="H75" t="s">
        <v>18</v>
      </c>
      <c r="I75" t="s">
        <v>30</v>
      </c>
      <c r="J75" t="s">
        <v>17</v>
      </c>
      <c r="K75" t="s">
        <v>12</v>
      </c>
      <c r="L75" t="s">
        <v>14</v>
      </c>
      <c r="N75" s="2">
        <v>37</v>
      </c>
    </row>
    <row r="76" spans="1:14" ht="16" x14ac:dyDescent="0.2">
      <c r="M76" s="2"/>
    </row>
    <row r="77" spans="1:14" ht="16" x14ac:dyDescent="0.2">
      <c r="M77" s="2"/>
    </row>
    <row r="78" spans="1:14" ht="16" x14ac:dyDescent="0.2">
      <c r="M78" s="2"/>
    </row>
    <row r="79" spans="1:14" ht="16" x14ac:dyDescent="0.2">
      <c r="M79" s="2"/>
    </row>
    <row r="80" spans="1:14" ht="16" x14ac:dyDescent="0.2">
      <c r="M80" s="2"/>
    </row>
    <row r="81" spans="13:13" ht="16" x14ac:dyDescent="0.2">
      <c r="M81" s="2"/>
    </row>
    <row r="82" spans="13:13" ht="16" x14ac:dyDescent="0.2">
      <c r="M8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Kumanduri, Tarun</dc:creator>
  <cp:lastModifiedBy>Kavilukodige Sathishrao, Vidyullatha K</cp:lastModifiedBy>
  <dcterms:created xsi:type="dcterms:W3CDTF">2025-01-29T18:43:38Z</dcterms:created>
  <dcterms:modified xsi:type="dcterms:W3CDTF">2025-03-08T20:19:02Z</dcterms:modified>
</cp:coreProperties>
</file>