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6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/>
  <mc:AlternateContent xmlns:mc="http://schemas.openxmlformats.org/markup-compatibility/2006">
    <mc:Choice Requires="x15">
      <x15ac:absPath xmlns:x15ac="http://schemas.microsoft.com/office/spreadsheetml/2010/11/ac" url="/Users/saachi/Library/CloudStorage/Box-Box/SN Research/Data/Supply chain/acheng98/acheng98-ev-battery-chemistry-supply-chain-vulnerabilities-3e9899f/Processed Data/"/>
    </mc:Choice>
  </mc:AlternateContent>
  <xr:revisionPtr revIDLastSave="0" documentId="13_ncr:1_{B1AEC547-34B9-AA4B-BB0E-5CA7620824FC}" xr6:coauthVersionLast="47" xr6:coauthVersionMax="47" xr10:uidLastSave="{00000000-0000-0000-0000-000000000000}"/>
  <bookViews>
    <workbookView xWindow="28800" yWindow="0" windowWidth="38400" windowHeight="21600" activeTab="3" xr2:uid="{00000000-000D-0000-FFFF-FFFF00000000}"/>
  </bookViews>
  <sheets>
    <sheet name="Fig. 1 - Material Supply Chain " sheetId="1" r:id="rId1"/>
    <sheet name="Fig 4(a-d) - LFP-Li" sheetId="2" r:id="rId2"/>
    <sheet name="Fig 4(e-g) - NMC-Li" sheetId="3" r:id="rId3"/>
    <sheet name="Fig D1-2 - NMC-Ni" sheetId="4" r:id="rId4"/>
    <sheet name="Fig D1-3 - NMC-Mn" sheetId="5" r:id="rId5"/>
    <sheet name="Fig D1-1 - NMC-Co" sheetId="6" r:id="rId6"/>
    <sheet name="Chemical Formula Calculations" sheetId="7" r:id="rId7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4" l="1"/>
  <c r="G5" i="4"/>
  <c r="G3" i="4"/>
  <c r="F3" i="4"/>
  <c r="B26" i="4"/>
  <c r="F47" i="4"/>
  <c r="F45" i="4"/>
  <c r="B68" i="4"/>
  <c r="E68" i="4" s="1"/>
  <c r="G78" i="3"/>
  <c r="G157" i="6" l="1"/>
  <c r="G155" i="6"/>
  <c r="G153" i="6"/>
  <c r="G151" i="6"/>
  <c r="G148" i="6"/>
  <c r="G146" i="6"/>
  <c r="G144" i="6"/>
  <c r="G142" i="6"/>
  <c r="G140" i="6"/>
  <c r="G138" i="6"/>
  <c r="G136" i="6"/>
  <c r="G134" i="6"/>
  <c r="G131" i="6"/>
  <c r="G129" i="6"/>
  <c r="G127" i="6"/>
  <c r="G125" i="6"/>
  <c r="G122" i="6"/>
  <c r="G120" i="6"/>
  <c r="G118" i="6"/>
  <c r="G116" i="6"/>
  <c r="G114" i="6"/>
  <c r="G112" i="6"/>
  <c r="G110" i="6"/>
  <c r="G108" i="6"/>
  <c r="G105" i="6"/>
  <c r="G103" i="6"/>
  <c r="G101" i="6"/>
  <c r="G98" i="6"/>
  <c r="G96" i="6"/>
  <c r="G94" i="6"/>
  <c r="G92" i="6"/>
  <c r="G90" i="6"/>
  <c r="G88" i="6"/>
  <c r="G86" i="6"/>
  <c r="C149" i="6"/>
  <c r="C150" i="6"/>
  <c r="B193" i="6" s="1"/>
  <c r="B192" i="6"/>
  <c r="C147" i="6"/>
  <c r="B191" i="6" s="1"/>
  <c r="C145" i="6"/>
  <c r="B190" i="6" s="1"/>
  <c r="C143" i="6"/>
  <c r="B188" i="6" s="1"/>
  <c r="C141" i="6"/>
  <c r="B187" i="6" s="1"/>
  <c r="C139" i="6"/>
  <c r="B186" i="6" s="1"/>
  <c r="C137" i="6"/>
  <c r="B185" i="6" s="1"/>
  <c r="C135" i="6"/>
  <c r="B184" i="6" s="1"/>
  <c r="C133" i="6"/>
  <c r="B183" i="6" s="1"/>
  <c r="C132" i="6"/>
  <c r="B182" i="6" s="1"/>
  <c r="C130" i="6"/>
  <c r="B180" i="6" s="1"/>
  <c r="C128" i="6"/>
  <c r="B179" i="6" s="1"/>
  <c r="C126" i="6"/>
  <c r="B178" i="6" s="1"/>
  <c r="C124" i="6"/>
  <c r="B177" i="6" s="1"/>
  <c r="C123" i="6"/>
  <c r="B176" i="6" s="1"/>
  <c r="C121" i="6"/>
  <c r="B174" i="6" s="1"/>
  <c r="C119" i="6"/>
  <c r="B173" i="6" s="1"/>
  <c r="C117" i="6"/>
  <c r="B172" i="6" s="1"/>
  <c r="C115" i="6"/>
  <c r="B171" i="6" s="1"/>
  <c r="C113" i="6"/>
  <c r="B170" i="6" s="1"/>
  <c r="C111" i="6"/>
  <c r="B169" i="6" s="1"/>
  <c r="C109" i="6"/>
  <c r="B168" i="6" s="1"/>
  <c r="C107" i="6"/>
  <c r="B167" i="6" s="1"/>
  <c r="C106" i="6"/>
  <c r="B165" i="6" s="1"/>
  <c r="C104" i="6"/>
  <c r="B164" i="6" s="1"/>
  <c r="C102" i="6"/>
  <c r="B162" i="6" s="1"/>
  <c r="C100" i="6"/>
  <c r="B161" i="6" s="1"/>
  <c r="C99" i="6"/>
  <c r="B160" i="6" s="1"/>
  <c r="C97" i="6"/>
  <c r="B159" i="6" s="1"/>
  <c r="C95" i="6"/>
  <c r="B158" i="6" s="1"/>
  <c r="C93" i="6"/>
  <c r="B157" i="6" s="1"/>
  <c r="C91" i="6"/>
  <c r="B156" i="6" s="1"/>
  <c r="C89" i="6"/>
  <c r="B152" i="6" s="1"/>
  <c r="G172" i="5"/>
  <c r="G165" i="5"/>
  <c r="G159" i="5"/>
  <c r="G152" i="5"/>
  <c r="G141" i="5"/>
  <c r="G139" i="5"/>
  <c r="G132" i="5"/>
  <c r="G126" i="5"/>
  <c r="G119" i="5"/>
  <c r="G108" i="5"/>
  <c r="G102" i="5"/>
  <c r="C106" i="5"/>
  <c r="C105" i="5"/>
  <c r="C104" i="5"/>
  <c r="C103" i="5"/>
  <c r="C101" i="5"/>
  <c r="B156" i="5" s="1"/>
  <c r="C100" i="5"/>
  <c r="C99" i="5"/>
  <c r="C98" i="5"/>
  <c r="C97" i="5"/>
  <c r="C96" i="5"/>
  <c r="C95" i="5"/>
  <c r="C93" i="3"/>
  <c r="G53" i="3" s="1"/>
  <c r="B93" i="3"/>
  <c r="G52" i="3" s="1"/>
  <c r="H24" i="7"/>
  <c r="L24" i="7" s="1"/>
  <c r="F11" i="7"/>
  <c r="E11" i="7"/>
  <c r="H9" i="7"/>
  <c r="I9" i="7" s="1"/>
  <c r="L8" i="7"/>
  <c r="K8" i="7"/>
  <c r="J8" i="7"/>
  <c r="G8" i="7"/>
  <c r="F8" i="7"/>
  <c r="E8" i="7"/>
  <c r="H8" i="7" s="1"/>
  <c r="I8" i="7" s="1"/>
  <c r="L7" i="7"/>
  <c r="K7" i="7"/>
  <c r="J7" i="7"/>
  <c r="I7" i="7"/>
  <c r="H7" i="7"/>
  <c r="G6" i="7"/>
  <c r="F6" i="7"/>
  <c r="E6" i="7"/>
  <c r="H5" i="7"/>
  <c r="I5" i="7" s="1"/>
  <c r="G5" i="7"/>
  <c r="F5" i="7"/>
  <c r="E5" i="7"/>
  <c r="D2" i="7"/>
  <c r="C39" i="6"/>
  <c r="B79" i="6" s="1"/>
  <c r="E79" i="6" s="1"/>
  <c r="C38" i="6"/>
  <c r="B78" i="6" s="1"/>
  <c r="E78" i="6" s="1"/>
  <c r="C37" i="6"/>
  <c r="B77" i="6" s="1"/>
  <c r="E77" i="6" s="1"/>
  <c r="C36" i="6"/>
  <c r="B76" i="6" s="1"/>
  <c r="E76" i="6" s="1"/>
  <c r="C35" i="6"/>
  <c r="B74" i="6" s="1"/>
  <c r="E74" i="6" s="1"/>
  <c r="C34" i="6"/>
  <c r="B73" i="6" s="1"/>
  <c r="E73" i="6" s="1"/>
  <c r="C33" i="6"/>
  <c r="B72" i="6" s="1"/>
  <c r="E72" i="6" s="1"/>
  <c r="C32" i="6"/>
  <c r="B71" i="6" s="1"/>
  <c r="E71" i="6" s="1"/>
  <c r="C31" i="6"/>
  <c r="B70" i="6" s="1"/>
  <c r="E70" i="6" s="1"/>
  <c r="C30" i="6"/>
  <c r="B69" i="6" s="1"/>
  <c r="E69" i="6" s="1"/>
  <c r="AF29" i="6"/>
  <c r="W29" i="6"/>
  <c r="N29" i="6"/>
  <c r="C29" i="6"/>
  <c r="B68" i="6" s="1"/>
  <c r="E68" i="6" s="1"/>
  <c r="AF28" i="6"/>
  <c r="W28" i="6"/>
  <c r="N28" i="6"/>
  <c r="C28" i="6"/>
  <c r="B66" i="6" s="1"/>
  <c r="E66" i="6" s="1"/>
  <c r="AC27" i="6"/>
  <c r="AC30" i="6" s="1"/>
  <c r="AD17" i="6" s="1"/>
  <c r="T27" i="6"/>
  <c r="W27" i="6" s="1"/>
  <c r="N27" i="6"/>
  <c r="C27" i="6"/>
  <c r="B65" i="6" s="1"/>
  <c r="E65" i="6" s="1"/>
  <c r="AF26" i="6"/>
  <c r="W26" i="6"/>
  <c r="K26" i="6"/>
  <c r="N26" i="6" s="1"/>
  <c r="C26" i="6"/>
  <c r="B64" i="6" s="1"/>
  <c r="E64" i="6" s="1"/>
  <c r="AF25" i="6"/>
  <c r="W25" i="6"/>
  <c r="N25" i="6"/>
  <c r="C25" i="6"/>
  <c r="B63" i="6" s="1"/>
  <c r="E63" i="6" s="1"/>
  <c r="AF24" i="6"/>
  <c r="W24" i="6"/>
  <c r="N24" i="6"/>
  <c r="C24" i="6"/>
  <c r="B61" i="6" s="1"/>
  <c r="E61" i="6" s="1"/>
  <c r="AF23" i="6"/>
  <c r="W23" i="6"/>
  <c r="N23" i="6"/>
  <c r="C23" i="6"/>
  <c r="B60" i="6" s="1"/>
  <c r="E60" i="6" s="1"/>
  <c r="AF22" i="6"/>
  <c r="W22" i="6"/>
  <c r="N22" i="6"/>
  <c r="C22" i="6"/>
  <c r="B59" i="6" s="1"/>
  <c r="E59" i="6" s="1"/>
  <c r="AC21" i="6"/>
  <c r="AF21" i="6" s="1"/>
  <c r="T21" i="6"/>
  <c r="K21" i="6"/>
  <c r="N21" i="6" s="1"/>
  <c r="C21" i="6"/>
  <c r="B58" i="6" s="1"/>
  <c r="E58" i="6" s="1"/>
  <c r="AF20" i="6"/>
  <c r="W20" i="6"/>
  <c r="N20" i="6"/>
  <c r="C20" i="6"/>
  <c r="B57" i="6" s="1"/>
  <c r="E57" i="6" s="1"/>
  <c r="AF19" i="6"/>
  <c r="W19" i="6"/>
  <c r="N19" i="6"/>
  <c r="C19" i="6"/>
  <c r="B56" i="6" s="1"/>
  <c r="E56" i="6" s="1"/>
  <c r="AF18" i="6"/>
  <c r="W18" i="6"/>
  <c r="N18" i="6"/>
  <c r="G18" i="6"/>
  <c r="C18" i="6"/>
  <c r="B55" i="6" s="1"/>
  <c r="E55" i="6" s="1"/>
  <c r="AF17" i="6"/>
  <c r="W17" i="6"/>
  <c r="N17" i="6"/>
  <c r="C17" i="6"/>
  <c r="B54" i="6" s="1"/>
  <c r="E54" i="6" s="1"/>
  <c r="AF16" i="6"/>
  <c r="AD16" i="6"/>
  <c r="W16" i="6"/>
  <c r="U16" i="6"/>
  <c r="N16" i="6"/>
  <c r="L16" i="6"/>
  <c r="C16" i="6"/>
  <c r="B53" i="6" s="1"/>
  <c r="E53" i="6" s="1"/>
  <c r="AF15" i="6"/>
  <c r="AD15" i="6"/>
  <c r="W15" i="6"/>
  <c r="U15" i="6"/>
  <c r="N15" i="6"/>
  <c r="L15" i="6"/>
  <c r="C15" i="6"/>
  <c r="B51" i="6" s="1"/>
  <c r="E51" i="6" s="1"/>
  <c r="AF14" i="6"/>
  <c r="W14" i="6"/>
  <c r="N14" i="6"/>
  <c r="L14" i="6"/>
  <c r="C14" i="6"/>
  <c r="B50" i="6" s="1"/>
  <c r="E50" i="6" s="1"/>
  <c r="AF13" i="6"/>
  <c r="AD13" i="6"/>
  <c r="W13" i="6"/>
  <c r="U13" i="6"/>
  <c r="N13" i="6"/>
  <c r="C13" i="6"/>
  <c r="B49" i="6" s="1"/>
  <c r="E49" i="6" s="1"/>
  <c r="AF12" i="6"/>
  <c r="AD12" i="6"/>
  <c r="W12" i="6"/>
  <c r="U12" i="6"/>
  <c r="N12" i="6"/>
  <c r="L12" i="6"/>
  <c r="C12" i="6"/>
  <c r="B47" i="6" s="1"/>
  <c r="E47" i="6" s="1"/>
  <c r="AF11" i="6"/>
  <c r="AD11" i="6"/>
  <c r="W11" i="6"/>
  <c r="U11" i="6"/>
  <c r="N11" i="6"/>
  <c r="L11" i="6"/>
  <c r="C11" i="6"/>
  <c r="B46" i="6" s="1"/>
  <c r="E46" i="6" s="1"/>
  <c r="AF10" i="6"/>
  <c r="AD10" i="6"/>
  <c r="W10" i="6"/>
  <c r="U10" i="6"/>
  <c r="N10" i="6"/>
  <c r="L10" i="6"/>
  <c r="C10" i="6"/>
  <c r="B45" i="6" s="1"/>
  <c r="E45" i="6" s="1"/>
  <c r="AF9" i="6"/>
  <c r="W9" i="6"/>
  <c r="N9" i="6"/>
  <c r="C9" i="6"/>
  <c r="B44" i="6" s="1"/>
  <c r="E44" i="6" s="1"/>
  <c r="AF8" i="6"/>
  <c r="AD8" i="6"/>
  <c r="W8" i="6"/>
  <c r="U8" i="6"/>
  <c r="N8" i="6"/>
  <c r="L8" i="6"/>
  <c r="C8" i="6"/>
  <c r="B43" i="6" s="1"/>
  <c r="E43" i="6" s="1"/>
  <c r="AF7" i="6"/>
  <c r="AD7" i="6"/>
  <c r="W7" i="6"/>
  <c r="U7" i="6"/>
  <c r="N7" i="6"/>
  <c r="L7" i="6"/>
  <c r="C7" i="6"/>
  <c r="B42" i="6" s="1"/>
  <c r="E42" i="6" s="1"/>
  <c r="AF6" i="6"/>
  <c r="AD6" i="6"/>
  <c r="AE3" i="6" s="1"/>
  <c r="W6" i="6"/>
  <c r="U6" i="6"/>
  <c r="V3" i="6" s="1"/>
  <c r="N6" i="6"/>
  <c r="L6" i="6"/>
  <c r="M3" i="6" s="1"/>
  <c r="C6" i="6"/>
  <c r="B41" i="6" s="1"/>
  <c r="E41" i="6" s="1"/>
  <c r="AF5" i="6"/>
  <c r="W5" i="6"/>
  <c r="N5" i="6"/>
  <c r="AF4" i="6"/>
  <c r="W4" i="6"/>
  <c r="N4" i="6"/>
  <c r="AF3" i="6"/>
  <c r="W3" i="6"/>
  <c r="N3" i="6"/>
  <c r="AC28" i="5"/>
  <c r="AF27" i="5"/>
  <c r="AF26" i="5"/>
  <c r="AF25" i="5"/>
  <c r="AF24" i="5"/>
  <c r="T24" i="5"/>
  <c r="W24" i="5" s="1"/>
  <c r="AF23" i="5"/>
  <c r="W23" i="5"/>
  <c r="K23" i="5"/>
  <c r="N23" i="5" s="1"/>
  <c r="AC22" i="5"/>
  <c r="W22" i="5"/>
  <c r="K22" i="5"/>
  <c r="N22" i="5" s="1"/>
  <c r="AF21" i="5"/>
  <c r="T21" i="5"/>
  <c r="N21" i="5"/>
  <c r="AF20" i="5"/>
  <c r="W20" i="5"/>
  <c r="N20" i="5"/>
  <c r="AF19" i="5"/>
  <c r="T19" i="5"/>
  <c r="W19" i="5" s="1"/>
  <c r="N19" i="5"/>
  <c r="AF18" i="5"/>
  <c r="W18" i="5"/>
  <c r="N18" i="5"/>
  <c r="H18" i="5"/>
  <c r="AF17" i="5"/>
  <c r="T17" i="5"/>
  <c r="U8" i="5" s="1"/>
  <c r="N17" i="5"/>
  <c r="AF16" i="5"/>
  <c r="W16" i="5"/>
  <c r="N16" i="5"/>
  <c r="C16" i="5"/>
  <c r="B185" i="5" s="1"/>
  <c r="AF15" i="5"/>
  <c r="AD15" i="5"/>
  <c r="W15" i="5"/>
  <c r="N15" i="5"/>
  <c r="C15" i="5"/>
  <c r="B78" i="5" s="1"/>
  <c r="E78" i="5" s="1"/>
  <c r="AF14" i="5"/>
  <c r="AD14" i="5"/>
  <c r="W14" i="5"/>
  <c r="N14" i="5"/>
  <c r="C14" i="5"/>
  <c r="B169" i="5" s="1"/>
  <c r="AF13" i="5"/>
  <c r="AD13" i="5"/>
  <c r="W13" i="5"/>
  <c r="U13" i="5"/>
  <c r="N13" i="5"/>
  <c r="C13" i="5"/>
  <c r="B66" i="5" s="1"/>
  <c r="E66" i="5" s="1"/>
  <c r="AF12" i="5"/>
  <c r="AD12" i="5"/>
  <c r="W12" i="5"/>
  <c r="U12" i="5"/>
  <c r="N12" i="5"/>
  <c r="L12" i="5"/>
  <c r="C12" i="5"/>
  <c r="B59" i="5" s="1"/>
  <c r="E59" i="5" s="1"/>
  <c r="AF11" i="5"/>
  <c r="N11" i="5"/>
  <c r="L11" i="5"/>
  <c r="C11" i="5"/>
  <c r="B55" i="5" s="1"/>
  <c r="E55" i="5" s="1"/>
  <c r="AF10" i="5"/>
  <c r="AD10" i="5"/>
  <c r="W10" i="5"/>
  <c r="N10" i="5"/>
  <c r="L10" i="5"/>
  <c r="C10" i="5"/>
  <c r="B51" i="5" s="1"/>
  <c r="E51" i="5" s="1"/>
  <c r="AF9" i="5"/>
  <c r="AD9" i="5"/>
  <c r="W9" i="5"/>
  <c r="U9" i="5"/>
  <c r="N9" i="5"/>
  <c r="L9" i="5"/>
  <c r="C9" i="5"/>
  <c r="B46" i="5" s="1"/>
  <c r="E46" i="5" s="1"/>
  <c r="AF8" i="5"/>
  <c r="AD8" i="5"/>
  <c r="W8" i="5"/>
  <c r="N8" i="5"/>
  <c r="L8" i="5"/>
  <c r="C8" i="5"/>
  <c r="B131" i="5" s="1"/>
  <c r="AF7" i="5"/>
  <c r="AD7" i="5"/>
  <c r="W7" i="5"/>
  <c r="U7" i="5"/>
  <c r="N7" i="5"/>
  <c r="L7" i="5"/>
  <c r="C7" i="5"/>
  <c r="B30" i="5" s="1"/>
  <c r="E30" i="5" s="1"/>
  <c r="AF6" i="5"/>
  <c r="AD6" i="5"/>
  <c r="AE3" i="5" s="1"/>
  <c r="W6" i="5"/>
  <c r="U6" i="5"/>
  <c r="V3" i="5" s="1"/>
  <c r="N6" i="5"/>
  <c r="L6" i="5"/>
  <c r="M3" i="5" s="1"/>
  <c r="C6" i="5"/>
  <c r="B113" i="5" s="1"/>
  <c r="AF5" i="5"/>
  <c r="W5" i="5"/>
  <c r="N5" i="5"/>
  <c r="AF4" i="5"/>
  <c r="W4" i="5"/>
  <c r="N4" i="5"/>
  <c r="AF3" i="5"/>
  <c r="W3" i="5"/>
  <c r="N3" i="5"/>
  <c r="C25" i="4"/>
  <c r="B67" i="4" s="1"/>
  <c r="E67" i="4" s="1"/>
  <c r="C24" i="4"/>
  <c r="B66" i="4" s="1"/>
  <c r="E66" i="4" s="1"/>
  <c r="W23" i="4"/>
  <c r="C23" i="4"/>
  <c r="B65" i="4" s="1"/>
  <c r="E65" i="4" s="1"/>
  <c r="W22" i="4"/>
  <c r="C22" i="4"/>
  <c r="B64" i="4" s="1"/>
  <c r="E64" i="4" s="1"/>
  <c r="W21" i="4"/>
  <c r="C21" i="4"/>
  <c r="B63" i="4" s="1"/>
  <c r="E63" i="4" s="1"/>
  <c r="T20" i="4"/>
  <c r="W20" i="4" s="1"/>
  <c r="C20" i="4"/>
  <c r="B59" i="4" s="1"/>
  <c r="E59" i="4" s="1"/>
  <c r="W19" i="4"/>
  <c r="C19" i="4"/>
  <c r="B54" i="4" s="1"/>
  <c r="E54" i="4" s="1"/>
  <c r="W18" i="4"/>
  <c r="N18" i="4"/>
  <c r="G18" i="4"/>
  <c r="C18" i="4"/>
  <c r="B53" i="4" s="1"/>
  <c r="E53" i="4" s="1"/>
  <c r="T17" i="4"/>
  <c r="W17" i="4" s="1"/>
  <c r="N17" i="4"/>
  <c r="C17" i="4"/>
  <c r="B52" i="4" s="1"/>
  <c r="E52" i="4" s="1"/>
  <c r="W16" i="4"/>
  <c r="K16" i="4"/>
  <c r="N16" i="4" s="1"/>
  <c r="C16" i="4"/>
  <c r="B51" i="4" s="1"/>
  <c r="E51" i="4" s="1"/>
  <c r="AF15" i="4"/>
  <c r="W15" i="4"/>
  <c r="N15" i="4"/>
  <c r="C15" i="4"/>
  <c r="B49" i="4" s="1"/>
  <c r="E49" i="4" s="1"/>
  <c r="AF14" i="4"/>
  <c r="W14" i="4"/>
  <c r="K14" i="4"/>
  <c r="N14" i="4" s="1"/>
  <c r="C14" i="4"/>
  <c r="B47" i="4" s="1"/>
  <c r="E47" i="4" s="1"/>
  <c r="AF13" i="4"/>
  <c r="W13" i="4"/>
  <c r="U13" i="4"/>
  <c r="N13" i="4"/>
  <c r="C13" i="4"/>
  <c r="B41" i="4" s="1"/>
  <c r="E41" i="4" s="1"/>
  <c r="AF12" i="4"/>
  <c r="W12" i="4"/>
  <c r="U12" i="4"/>
  <c r="N12" i="4"/>
  <c r="C12" i="4"/>
  <c r="B40" i="4" s="1"/>
  <c r="E40" i="4" s="1"/>
  <c r="AF11" i="4"/>
  <c r="W11" i="4"/>
  <c r="U11" i="4"/>
  <c r="N11" i="4"/>
  <c r="L11" i="4"/>
  <c r="C11" i="4"/>
  <c r="B39" i="4" s="1"/>
  <c r="E39" i="4" s="1"/>
  <c r="AF10" i="4"/>
  <c r="AD10" i="4"/>
  <c r="W10" i="4"/>
  <c r="U10" i="4"/>
  <c r="N10" i="4"/>
  <c r="L10" i="4"/>
  <c r="C10" i="4"/>
  <c r="B38" i="4" s="1"/>
  <c r="E38" i="4" s="1"/>
  <c r="AF9" i="4"/>
  <c r="AD9" i="4"/>
  <c r="W9" i="4"/>
  <c r="U9" i="4"/>
  <c r="N9" i="4"/>
  <c r="C9" i="4"/>
  <c r="B37" i="4" s="1"/>
  <c r="E37" i="4" s="1"/>
  <c r="AF8" i="4"/>
  <c r="AD8" i="4"/>
  <c r="W8" i="4"/>
  <c r="N8" i="4"/>
  <c r="L8" i="4"/>
  <c r="C8" i="4"/>
  <c r="B35" i="4" s="1"/>
  <c r="E35" i="4" s="1"/>
  <c r="AF7" i="4"/>
  <c r="AD7" i="4"/>
  <c r="W7" i="4"/>
  <c r="U7" i="4"/>
  <c r="N7" i="4"/>
  <c r="C7" i="4"/>
  <c r="B33" i="4" s="1"/>
  <c r="E33" i="4" s="1"/>
  <c r="AF6" i="4"/>
  <c r="AD6" i="4"/>
  <c r="AE3" i="4" s="1"/>
  <c r="W6" i="4"/>
  <c r="U6" i="4"/>
  <c r="V3" i="4" s="1"/>
  <c r="N6" i="4"/>
  <c r="L6" i="4"/>
  <c r="M3" i="4" s="1"/>
  <c r="C6" i="4"/>
  <c r="B29" i="4" s="1"/>
  <c r="E29" i="4" s="1"/>
  <c r="AF5" i="4"/>
  <c r="W5" i="4"/>
  <c r="N5" i="4"/>
  <c r="AF4" i="4"/>
  <c r="W4" i="4"/>
  <c r="N4" i="4"/>
  <c r="AF3" i="4"/>
  <c r="W3" i="4"/>
  <c r="N3" i="4"/>
  <c r="E37" i="3"/>
  <c r="B31" i="3" s="1"/>
  <c r="E36" i="3"/>
  <c r="B20" i="3" s="1"/>
  <c r="B27" i="3"/>
  <c r="E27" i="3" s="1"/>
  <c r="B26" i="3"/>
  <c r="E26" i="3" s="1"/>
  <c r="B25" i="3"/>
  <c r="B24" i="3"/>
  <c r="E24" i="3" s="1"/>
  <c r="B23" i="3"/>
  <c r="E23" i="3" s="1"/>
  <c r="B22" i="3"/>
  <c r="E22" i="3" s="1"/>
  <c r="N20" i="3"/>
  <c r="N19" i="3"/>
  <c r="K18" i="3"/>
  <c r="L11" i="3" s="1"/>
  <c r="N17" i="3"/>
  <c r="K16" i="3"/>
  <c r="N16" i="3" s="1"/>
  <c r="N15" i="3"/>
  <c r="N14" i="3"/>
  <c r="N13" i="3"/>
  <c r="L13" i="3"/>
  <c r="W12" i="3"/>
  <c r="N12" i="3"/>
  <c r="L12" i="3"/>
  <c r="W11" i="3"/>
  <c r="N11" i="3"/>
  <c r="W10" i="3"/>
  <c r="N10" i="3"/>
  <c r="L10" i="3"/>
  <c r="W9" i="3"/>
  <c r="U9" i="3"/>
  <c r="V6" i="3" s="1"/>
  <c r="N9" i="3"/>
  <c r="W8" i="3"/>
  <c r="U8" i="3"/>
  <c r="V5" i="3" s="1"/>
  <c r="N8" i="3"/>
  <c r="L8" i="3"/>
  <c r="W7" i="3"/>
  <c r="U7" i="3"/>
  <c r="V4" i="3" s="1"/>
  <c r="N7" i="3"/>
  <c r="L7" i="3"/>
  <c r="M4" i="3" s="1"/>
  <c r="W6" i="3"/>
  <c r="N6" i="3"/>
  <c r="W5" i="3"/>
  <c r="N5" i="3"/>
  <c r="W4" i="3"/>
  <c r="N4" i="3"/>
  <c r="E33" i="2"/>
  <c r="B33" i="2"/>
  <c r="E32" i="2"/>
  <c r="B32" i="2"/>
  <c r="B31" i="2"/>
  <c r="E31" i="2" s="1"/>
  <c r="B30" i="2"/>
  <c r="C15" i="2" s="1"/>
  <c r="E29" i="2"/>
  <c r="B29" i="2"/>
  <c r="E28" i="2"/>
  <c r="B28" i="2"/>
  <c r="B27" i="2"/>
  <c r="E27" i="2" s="1"/>
  <c r="B26" i="2"/>
  <c r="C13" i="2" s="1"/>
  <c r="E25" i="2"/>
  <c r="B25" i="2"/>
  <c r="E24" i="2"/>
  <c r="B24" i="2"/>
  <c r="B23" i="2"/>
  <c r="E23" i="2" s="1"/>
  <c r="B22" i="2"/>
  <c r="C10" i="2" s="1"/>
  <c r="D5" i="2" s="1"/>
  <c r="B21" i="2"/>
  <c r="E21" i="2" s="1"/>
  <c r="E20" i="2"/>
  <c r="B20" i="2"/>
  <c r="C8" i="2" s="1"/>
  <c r="N19" i="2"/>
  <c r="K19" i="2"/>
  <c r="B19" i="2"/>
  <c r="E19" i="2" s="1"/>
  <c r="N18" i="2"/>
  <c r="B18" i="2"/>
  <c r="N17" i="2"/>
  <c r="C17" i="2"/>
  <c r="AF16" i="2"/>
  <c r="AC16" i="2"/>
  <c r="W16" i="2"/>
  <c r="T16" i="2"/>
  <c r="N16" i="2"/>
  <c r="C16" i="2"/>
  <c r="AF15" i="2"/>
  <c r="W15" i="2"/>
  <c r="N15" i="2"/>
  <c r="AF14" i="2"/>
  <c r="AC14" i="2"/>
  <c r="T14" i="2"/>
  <c r="U9" i="2" s="1"/>
  <c r="N14" i="2"/>
  <c r="C14" i="2"/>
  <c r="D6" i="2" s="1"/>
  <c r="AF13" i="2"/>
  <c r="W13" i="2"/>
  <c r="N13" i="2"/>
  <c r="AF12" i="2"/>
  <c r="W12" i="2"/>
  <c r="N12" i="2"/>
  <c r="L12" i="2"/>
  <c r="C12" i="2"/>
  <c r="AF11" i="2"/>
  <c r="AD11" i="2"/>
  <c r="W11" i="2"/>
  <c r="U11" i="2"/>
  <c r="V6" i="2" s="1"/>
  <c r="N11" i="2"/>
  <c r="L11" i="2"/>
  <c r="M6" i="2" s="1"/>
  <c r="C11" i="2"/>
  <c r="AF10" i="2"/>
  <c r="AD10" i="2"/>
  <c r="W10" i="2"/>
  <c r="U10" i="2"/>
  <c r="N10" i="2"/>
  <c r="L10" i="2"/>
  <c r="AF9" i="2"/>
  <c r="AD9" i="2"/>
  <c r="W9" i="2"/>
  <c r="N9" i="2"/>
  <c r="L9" i="2"/>
  <c r="C9" i="2"/>
  <c r="AF8" i="2"/>
  <c r="AD8" i="2"/>
  <c r="AE5" i="2" s="1"/>
  <c r="W8" i="2"/>
  <c r="U8" i="2"/>
  <c r="V5" i="2" s="1"/>
  <c r="N8" i="2"/>
  <c r="L8" i="2"/>
  <c r="AF7" i="2"/>
  <c r="W7" i="2"/>
  <c r="N7" i="2"/>
  <c r="AF6" i="2"/>
  <c r="AE6" i="2"/>
  <c r="W6" i="2"/>
  <c r="N6" i="2"/>
  <c r="AF5" i="2"/>
  <c r="W5" i="2"/>
  <c r="N5" i="2"/>
  <c r="M5" i="2"/>
  <c r="AF4" i="2"/>
  <c r="W4" i="2"/>
  <c r="N4" i="2"/>
  <c r="D72" i="1"/>
  <c r="D71" i="1"/>
  <c r="D70" i="1"/>
  <c r="D69" i="1"/>
  <c r="D68" i="1"/>
  <c r="D67" i="1"/>
  <c r="D64" i="1"/>
  <c r="D63" i="1"/>
  <c r="D62" i="1"/>
  <c r="D61" i="1"/>
  <c r="D60" i="1"/>
  <c r="D59" i="1"/>
  <c r="E55" i="1"/>
  <c r="D55" i="1"/>
  <c r="F35" i="1"/>
  <c r="E35" i="1"/>
  <c r="G34" i="1"/>
  <c r="G35" i="1" s="1"/>
  <c r="D34" i="1"/>
  <c r="D35" i="1" s="1"/>
  <c r="G15" i="1"/>
  <c r="D15" i="1"/>
  <c r="G14" i="1"/>
  <c r="F14" i="1"/>
  <c r="F15" i="1" s="1"/>
  <c r="E5" i="1"/>
  <c r="E14" i="1" s="1"/>
  <c r="U14" i="6" l="1"/>
  <c r="T30" i="6"/>
  <c r="W30" i="6" s="1"/>
  <c r="B75" i="6"/>
  <c r="E75" i="6" s="1"/>
  <c r="AD9" i="6"/>
  <c r="AE4" i="6" s="1"/>
  <c r="B154" i="6"/>
  <c r="L9" i="6"/>
  <c r="M4" i="6" s="1"/>
  <c r="U17" i="6"/>
  <c r="V5" i="6" s="1"/>
  <c r="B67" i="6"/>
  <c r="E67" i="6" s="1"/>
  <c r="B40" i="6"/>
  <c r="E40" i="6" s="1"/>
  <c r="B163" i="6"/>
  <c r="B181" i="6"/>
  <c r="B48" i="6"/>
  <c r="E48" i="6" s="1"/>
  <c r="B166" i="6"/>
  <c r="B52" i="6"/>
  <c r="E52" i="6" s="1"/>
  <c r="C194" i="6"/>
  <c r="B189" i="6"/>
  <c r="B175" i="6"/>
  <c r="B52" i="5"/>
  <c r="E52" i="5" s="1"/>
  <c r="B109" i="5"/>
  <c r="B48" i="5"/>
  <c r="E48" i="5" s="1"/>
  <c r="B133" i="5"/>
  <c r="B137" i="5"/>
  <c r="B26" i="5"/>
  <c r="E26" i="5" s="1"/>
  <c r="B76" i="5"/>
  <c r="E76" i="5" s="1"/>
  <c r="B161" i="5"/>
  <c r="B60" i="5"/>
  <c r="E60" i="5" s="1"/>
  <c r="B84" i="5"/>
  <c r="E84" i="5" s="1"/>
  <c r="B164" i="5"/>
  <c r="B143" i="5"/>
  <c r="B61" i="5"/>
  <c r="E61" i="5" s="1"/>
  <c r="B166" i="5"/>
  <c r="B123" i="5"/>
  <c r="C186" i="5"/>
  <c r="B19" i="5"/>
  <c r="B21" i="5"/>
  <c r="E21" i="5" s="1"/>
  <c r="B56" i="5"/>
  <c r="E56" i="5" s="1"/>
  <c r="B136" i="5"/>
  <c r="B162" i="5"/>
  <c r="B36" i="5"/>
  <c r="E36" i="5" s="1"/>
  <c r="B65" i="5"/>
  <c r="E65" i="5" s="1"/>
  <c r="B114" i="5"/>
  <c r="B151" i="5"/>
  <c r="B178" i="5"/>
  <c r="L14" i="5"/>
  <c r="U14" i="5"/>
  <c r="B25" i="5"/>
  <c r="E25" i="5" s="1"/>
  <c r="B43" i="5"/>
  <c r="E43" i="5" s="1"/>
  <c r="B67" i="5"/>
  <c r="E67" i="5" s="1"/>
  <c r="B115" i="5"/>
  <c r="B153" i="5"/>
  <c r="B179" i="5"/>
  <c r="B31" i="5"/>
  <c r="E31" i="5" s="1"/>
  <c r="B110" i="5"/>
  <c r="B44" i="5"/>
  <c r="E44" i="5" s="1"/>
  <c r="B69" i="5"/>
  <c r="E69" i="5" s="1"/>
  <c r="B117" i="5"/>
  <c r="B155" i="5"/>
  <c r="B181" i="5"/>
  <c r="B170" i="5"/>
  <c r="B37" i="5"/>
  <c r="E37" i="5" s="1"/>
  <c r="B74" i="5"/>
  <c r="E74" i="5" s="1"/>
  <c r="B124" i="5"/>
  <c r="B134" i="5"/>
  <c r="B144" i="5"/>
  <c r="B171" i="5"/>
  <c r="W17" i="5"/>
  <c r="B32" i="5"/>
  <c r="E32" i="5" s="1"/>
  <c r="B38" i="5"/>
  <c r="E38" i="5" s="1"/>
  <c r="B47" i="5"/>
  <c r="E47" i="5" s="1"/>
  <c r="B68" i="5"/>
  <c r="E68" i="5" s="1"/>
  <c r="B107" i="5"/>
  <c r="B116" i="5"/>
  <c r="B125" i="5"/>
  <c r="B135" i="5"/>
  <c r="B145" i="5"/>
  <c r="B154" i="5"/>
  <c r="B163" i="5"/>
  <c r="B172" i="5"/>
  <c r="B180" i="5"/>
  <c r="B73" i="5"/>
  <c r="E73" i="5" s="1"/>
  <c r="B127" i="5"/>
  <c r="B146" i="5"/>
  <c r="B173" i="5"/>
  <c r="B34" i="5"/>
  <c r="E34" i="5" s="1"/>
  <c r="B118" i="5"/>
  <c r="B128" i="5"/>
  <c r="B147" i="5"/>
  <c r="B174" i="5"/>
  <c r="B182" i="5"/>
  <c r="M4" i="5"/>
  <c r="B20" i="5"/>
  <c r="E20" i="5" s="1"/>
  <c r="B24" i="5"/>
  <c r="E24" i="5" s="1"/>
  <c r="B28" i="5"/>
  <c r="E28" i="5" s="1"/>
  <c r="B50" i="5"/>
  <c r="E50" i="5" s="1"/>
  <c r="B63" i="5"/>
  <c r="E63" i="5" s="1"/>
  <c r="B79" i="5"/>
  <c r="E79" i="5" s="1"/>
  <c r="B111" i="5"/>
  <c r="B120" i="5"/>
  <c r="B129" i="5"/>
  <c r="B138" i="5"/>
  <c r="B148" i="5"/>
  <c r="B157" i="5"/>
  <c r="B167" i="5"/>
  <c r="B175" i="5"/>
  <c r="B183" i="5"/>
  <c r="B33" i="5"/>
  <c r="E33" i="5" s="1"/>
  <c r="B39" i="5"/>
  <c r="E39" i="5" s="1"/>
  <c r="B49" i="5"/>
  <c r="E49" i="5" s="1"/>
  <c r="B70" i="5"/>
  <c r="E70" i="5" s="1"/>
  <c r="B35" i="5"/>
  <c r="E35" i="5" s="1"/>
  <c r="B40" i="5"/>
  <c r="E40" i="5" s="1"/>
  <c r="B71" i="5"/>
  <c r="E71" i="5" s="1"/>
  <c r="B80" i="5"/>
  <c r="E80" i="5" s="1"/>
  <c r="B112" i="5"/>
  <c r="B121" i="5"/>
  <c r="B130" i="5"/>
  <c r="B140" i="5"/>
  <c r="B149" i="5"/>
  <c r="B158" i="5"/>
  <c r="B168" i="5"/>
  <c r="B176" i="5"/>
  <c r="B184" i="5"/>
  <c r="B75" i="5"/>
  <c r="E75" i="5" s="1"/>
  <c r="V4" i="5"/>
  <c r="B29" i="5"/>
  <c r="E29" i="5" s="1"/>
  <c r="B41" i="5"/>
  <c r="E41" i="5" s="1"/>
  <c r="B64" i="5"/>
  <c r="E64" i="5" s="1"/>
  <c r="B72" i="5"/>
  <c r="E72" i="5" s="1"/>
  <c r="B83" i="5"/>
  <c r="E83" i="5" s="1"/>
  <c r="B122" i="5"/>
  <c r="B142" i="5"/>
  <c r="B150" i="5"/>
  <c r="B160" i="5"/>
  <c r="B177" i="5"/>
  <c r="G60" i="3"/>
  <c r="G62" i="3"/>
  <c r="G64" i="3"/>
  <c r="G67" i="3"/>
  <c r="G70" i="3"/>
  <c r="G72" i="3"/>
  <c r="G55" i="3"/>
  <c r="G74" i="3"/>
  <c r="G57" i="3"/>
  <c r="G77" i="3"/>
  <c r="C11" i="3"/>
  <c r="G71" i="3"/>
  <c r="G69" i="3"/>
  <c r="G63" i="3"/>
  <c r="M6" i="3"/>
  <c r="G65" i="3"/>
  <c r="G61" i="3"/>
  <c r="B29" i="3"/>
  <c r="E29" i="3" s="1"/>
  <c r="G76" i="3"/>
  <c r="G59" i="3"/>
  <c r="B28" i="3"/>
  <c r="G51" i="3"/>
  <c r="B32" i="3"/>
  <c r="E32" i="3" s="1"/>
  <c r="G75" i="3"/>
  <c r="G58" i="3"/>
  <c r="B21" i="3"/>
  <c r="E21" i="3" s="1"/>
  <c r="B33" i="3"/>
  <c r="E33" i="3" s="1"/>
  <c r="G73" i="3"/>
  <c r="G56" i="3"/>
  <c r="C16" i="3"/>
  <c r="E31" i="3"/>
  <c r="C13" i="3"/>
  <c r="N18" i="3"/>
  <c r="L9" i="3"/>
  <c r="M5" i="3" s="1"/>
  <c r="B19" i="3"/>
  <c r="E19" i="3" s="1"/>
  <c r="B30" i="3"/>
  <c r="C15" i="3" s="1"/>
  <c r="G68" i="3"/>
  <c r="G54" i="3"/>
  <c r="G66" i="3"/>
  <c r="AE4" i="4"/>
  <c r="L9" i="4"/>
  <c r="M5" i="4" s="1"/>
  <c r="U8" i="4"/>
  <c r="V4" i="4" s="1"/>
  <c r="B57" i="4"/>
  <c r="E57" i="4" s="1"/>
  <c r="V5" i="4"/>
  <c r="G19" i="4"/>
  <c r="B58" i="4"/>
  <c r="E58" i="4" s="1"/>
  <c r="L7" i="4"/>
  <c r="M4" i="4" s="1"/>
  <c r="B42" i="4"/>
  <c r="E42" i="4" s="1"/>
  <c r="B61" i="4"/>
  <c r="E61" i="4" s="1"/>
  <c r="B62" i="4"/>
  <c r="E62" i="4" s="1"/>
  <c r="B45" i="4"/>
  <c r="E45" i="4" s="1"/>
  <c r="B46" i="4"/>
  <c r="E46" i="4" s="1"/>
  <c r="G21" i="4"/>
  <c r="G22" i="4" s="1"/>
  <c r="B31" i="4"/>
  <c r="E31" i="4" s="1"/>
  <c r="B27" i="4"/>
  <c r="E27" i="4" s="1"/>
  <c r="B32" i="4"/>
  <c r="E32" i="4" s="1"/>
  <c r="B28" i="4"/>
  <c r="E28" i="4" s="1"/>
  <c r="B34" i="4"/>
  <c r="E34" i="4" s="1"/>
  <c r="B50" i="4"/>
  <c r="E50" i="4" s="1"/>
  <c r="K5" i="7"/>
  <c r="AF27" i="6"/>
  <c r="B58" i="5"/>
  <c r="E58" i="5" s="1"/>
  <c r="B54" i="5"/>
  <c r="E54" i="5" s="1"/>
  <c r="B57" i="5"/>
  <c r="E57" i="5" s="1"/>
  <c r="B53" i="5"/>
  <c r="E53" i="5" s="1"/>
  <c r="W21" i="5"/>
  <c r="U11" i="5"/>
  <c r="G11" i="7"/>
  <c r="L5" i="7"/>
  <c r="J5" i="7"/>
  <c r="K30" i="6"/>
  <c r="L13" i="6"/>
  <c r="C7" i="2"/>
  <c r="B30" i="4"/>
  <c r="E30" i="4" s="1"/>
  <c r="E19" i="5"/>
  <c r="W14" i="2"/>
  <c r="E22" i="2"/>
  <c r="E26" i="2"/>
  <c r="E30" i="2"/>
  <c r="AE5" i="4"/>
  <c r="L13" i="5"/>
  <c r="E15" i="1"/>
  <c r="E18" i="2"/>
  <c r="C8" i="3"/>
  <c r="E20" i="3"/>
  <c r="AF22" i="5"/>
  <c r="AD11" i="5"/>
  <c r="AE4" i="5" s="1"/>
  <c r="AF28" i="5"/>
  <c r="AD16" i="5"/>
  <c r="AE5" i="5" s="1"/>
  <c r="W21" i="6"/>
  <c r="U9" i="6"/>
  <c r="V4" i="6" s="1"/>
  <c r="AF30" i="6"/>
  <c r="F2" i="7"/>
  <c r="E2" i="7"/>
  <c r="G2" i="7"/>
  <c r="E25" i="3"/>
  <c r="C12" i="3"/>
  <c r="B17" i="5"/>
  <c r="E17" i="5" s="1"/>
  <c r="B23" i="5"/>
  <c r="E23" i="5" s="1"/>
  <c r="B22" i="5"/>
  <c r="E22" i="5" s="1"/>
  <c r="H19" i="5"/>
  <c r="B18" i="5"/>
  <c r="E18" i="5" s="1"/>
  <c r="B86" i="5"/>
  <c r="E86" i="5" s="1"/>
  <c r="B82" i="5"/>
  <c r="E82" i="5" s="1"/>
  <c r="B81" i="5"/>
  <c r="E81" i="5" s="1"/>
  <c r="B85" i="5"/>
  <c r="E85" i="5" s="1"/>
  <c r="AD14" i="6"/>
  <c r="AE5" i="6" s="1"/>
  <c r="H6" i="7"/>
  <c r="B77" i="5"/>
  <c r="E77" i="5" s="1"/>
  <c r="G19" i="6"/>
  <c r="J9" i="7"/>
  <c r="B45" i="5"/>
  <c r="E45" i="5" s="1"/>
  <c r="C10" i="3"/>
  <c r="B18" i="3"/>
  <c r="B36" i="4"/>
  <c r="E36" i="4" s="1"/>
  <c r="B44" i="4"/>
  <c r="E44" i="4" s="1"/>
  <c r="B48" i="4"/>
  <c r="E48" i="4" s="1"/>
  <c r="B56" i="4"/>
  <c r="E56" i="4" s="1"/>
  <c r="B60" i="4"/>
  <c r="E60" i="4" s="1"/>
  <c r="B27" i="5"/>
  <c r="E27" i="5" s="1"/>
  <c r="B62" i="6"/>
  <c r="E62" i="6" s="1"/>
  <c r="K9" i="7"/>
  <c r="B42" i="5"/>
  <c r="E42" i="5" s="1"/>
  <c r="B62" i="5"/>
  <c r="E62" i="5" s="1"/>
  <c r="L9" i="7"/>
  <c r="I24" i="7"/>
  <c r="J24" i="7"/>
  <c r="K24" i="7"/>
  <c r="B43" i="4"/>
  <c r="E43" i="4" s="1"/>
  <c r="B55" i="4"/>
  <c r="E55" i="4" s="1"/>
  <c r="AH20" i="6" l="1"/>
  <c r="AH21" i="6"/>
  <c r="B194" i="6"/>
  <c r="G20" i="6"/>
  <c r="V5" i="5"/>
  <c r="M5" i="5"/>
  <c r="B186" i="5"/>
  <c r="G137" i="5" s="1"/>
  <c r="H20" i="5"/>
  <c r="D5" i="3"/>
  <c r="C14" i="3"/>
  <c r="E28" i="3"/>
  <c r="C17" i="3"/>
  <c r="D6" i="3" s="1"/>
  <c r="C9" i="3"/>
  <c r="E30" i="3"/>
  <c r="D4" i="2"/>
  <c r="E18" i="3"/>
  <c r="C7" i="3"/>
  <c r="J6" i="7"/>
  <c r="I6" i="7"/>
  <c r="L6" i="7"/>
  <c r="K6" i="7"/>
  <c r="N30" i="6"/>
  <c r="L17" i="6"/>
  <c r="M5" i="6" s="1"/>
  <c r="H11" i="7"/>
  <c r="G20" i="4"/>
  <c r="E26" i="4"/>
  <c r="G132" i="6" l="1"/>
  <c r="G156" i="6"/>
  <c r="G100" i="6"/>
  <c r="G149" i="6"/>
  <c r="G117" i="6"/>
  <c r="G113" i="6"/>
  <c r="G87" i="6"/>
  <c r="G143" i="6"/>
  <c r="G133" i="6"/>
  <c r="G84" i="6"/>
  <c r="G107" i="6"/>
  <c r="G126" i="6"/>
  <c r="G137" i="6"/>
  <c r="G102" i="6"/>
  <c r="G152" i="6"/>
  <c r="G121" i="6"/>
  <c r="G147" i="6"/>
  <c r="G124" i="6"/>
  <c r="G109" i="6"/>
  <c r="G119" i="6"/>
  <c r="G106" i="6"/>
  <c r="G135" i="6"/>
  <c r="G130" i="6"/>
  <c r="G139" i="6"/>
  <c r="G93" i="6"/>
  <c r="G99" i="6"/>
  <c r="G85" i="6"/>
  <c r="G89" i="6"/>
  <c r="G97" i="6"/>
  <c r="G123" i="6"/>
  <c r="G104" i="6"/>
  <c r="G91" i="6"/>
  <c r="G128" i="6"/>
  <c r="G145" i="6"/>
  <c r="G141" i="6"/>
  <c r="G150" i="6"/>
  <c r="G111" i="6"/>
  <c r="G115" i="6"/>
  <c r="G95" i="6"/>
  <c r="G154" i="6"/>
  <c r="G154" i="5"/>
  <c r="G150" i="5"/>
  <c r="G128" i="5"/>
  <c r="G155" i="5"/>
  <c r="G112" i="5"/>
  <c r="G103" i="5"/>
  <c r="G104" i="5"/>
  <c r="G100" i="5"/>
  <c r="G144" i="5"/>
  <c r="G96" i="5"/>
  <c r="G124" i="5"/>
  <c r="G114" i="5"/>
  <c r="G118" i="5"/>
  <c r="G123" i="5"/>
  <c r="G134" i="5"/>
  <c r="G157" i="5"/>
  <c r="G110" i="5"/>
  <c r="G162" i="5"/>
  <c r="G158" i="5"/>
  <c r="G109" i="5"/>
  <c r="G168" i="5"/>
  <c r="G170" i="5"/>
  <c r="G130" i="5"/>
  <c r="G107" i="5"/>
  <c r="G98" i="5"/>
  <c r="G120" i="5"/>
  <c r="G167" i="5"/>
  <c r="G97" i="5"/>
  <c r="G115" i="5"/>
  <c r="G171" i="5"/>
  <c r="G140" i="5"/>
  <c r="G135" i="5"/>
  <c r="G153" i="5"/>
  <c r="G148" i="5"/>
  <c r="G145" i="5"/>
  <c r="G146" i="5"/>
  <c r="G136" i="5"/>
  <c r="G116" i="5"/>
  <c r="G163" i="5"/>
  <c r="G93" i="5"/>
  <c r="G149" i="5"/>
  <c r="G94" i="5"/>
  <c r="G99" i="5"/>
  <c r="G121" i="5"/>
  <c r="G125" i="5"/>
  <c r="G164" i="5"/>
  <c r="G138" i="5"/>
  <c r="G101" i="5"/>
  <c r="G92" i="5"/>
  <c r="G129" i="5"/>
  <c r="G143" i="5"/>
  <c r="G113" i="5"/>
  <c r="G111" i="5"/>
  <c r="G117" i="5"/>
  <c r="G147" i="5"/>
  <c r="G151" i="5"/>
  <c r="G156" i="5"/>
  <c r="G95" i="5"/>
  <c r="G106" i="5"/>
  <c r="G127" i="5"/>
  <c r="G131" i="5"/>
  <c r="G133" i="5"/>
  <c r="G169" i="5"/>
  <c r="G105" i="5"/>
  <c r="G160" i="5"/>
  <c r="G142" i="5"/>
  <c r="G122" i="5"/>
  <c r="G166" i="5"/>
  <c r="G161" i="5"/>
  <c r="I11" i="7"/>
  <c r="K11" i="7"/>
  <c r="J11" i="7"/>
  <c r="D4" i="3"/>
  <c r="G19" i="2"/>
  <c r="G21" i="2"/>
  <c r="G20" i="2"/>
  <c r="L11" i="7"/>
  <c r="G19" i="3" l="1"/>
  <c r="G21" i="3"/>
  <c r="G20" i="3"/>
</calcChain>
</file>

<file path=xl/sharedStrings.xml><?xml version="1.0" encoding="utf-8"?>
<sst xmlns="http://schemas.openxmlformats.org/spreadsheetml/2006/main" count="1378" uniqueCount="364">
  <si>
    <t>2020 data</t>
  </si>
  <si>
    <t>MINING</t>
  </si>
  <si>
    <t xml:space="preserve">Li </t>
  </si>
  <si>
    <t>Ni</t>
  </si>
  <si>
    <t>Co</t>
  </si>
  <si>
    <t>Mn</t>
  </si>
  <si>
    <t>South Africa</t>
  </si>
  <si>
    <t>DRC</t>
  </si>
  <si>
    <t>Indonesia</t>
  </si>
  <si>
    <t>Australia</t>
  </si>
  <si>
    <t>China</t>
  </si>
  <si>
    <t>Russia</t>
  </si>
  <si>
    <t>Europe</t>
  </si>
  <si>
    <t>United States</t>
  </si>
  <si>
    <t>Japan</t>
  </si>
  <si>
    <t>South Korea</t>
  </si>
  <si>
    <t>Other</t>
  </si>
  <si>
    <t>Total</t>
  </si>
  <si>
    <t>REFINING</t>
  </si>
  <si>
    <t>Mn*</t>
  </si>
  <si>
    <t>CATHODES</t>
  </si>
  <si>
    <t>LFP</t>
  </si>
  <si>
    <t>NMC / NCA</t>
  </si>
  <si>
    <t>Battery and Cells</t>
  </si>
  <si>
    <t>EVs</t>
  </si>
  <si>
    <t>Fig 4a</t>
  </si>
  <si>
    <t>Fig 4b</t>
  </si>
  <si>
    <t>Fig 4c</t>
  </si>
  <si>
    <t>Fig 4d</t>
  </si>
  <si>
    <t>PROPORTIONAL</t>
  </si>
  <si>
    <t>MINIMUM</t>
  </si>
  <si>
    <t>MAXIMUM</t>
  </si>
  <si>
    <t>MAXIMUM WITH UNCERTAIN</t>
  </si>
  <si>
    <t>Mining</t>
  </si>
  <si>
    <t>Refining</t>
  </si>
  <si>
    <t>Cathode</t>
  </si>
  <si>
    <t>USA</t>
  </si>
  <si>
    <t>Canada</t>
  </si>
  <si>
    <t>China_China</t>
  </si>
  <si>
    <t>Chile_China</t>
  </si>
  <si>
    <t>Argentina_USA</t>
  </si>
  <si>
    <t>China_USA</t>
  </si>
  <si>
    <t>Argentina_China</t>
  </si>
  <si>
    <t>USA_USA</t>
  </si>
  <si>
    <t>Chile_USA</t>
  </si>
  <si>
    <t>Uncertain_USA</t>
  </si>
  <si>
    <t>Chile_Canada</t>
  </si>
  <si>
    <t>China_Canada</t>
  </si>
  <si>
    <t>USA_Canada</t>
  </si>
  <si>
    <t>Uncertain_Canada</t>
  </si>
  <si>
    <t>China_China_China</t>
  </si>
  <si>
    <t>China_China_USA</t>
  </si>
  <si>
    <t>Argentina_Argentina_USA</t>
  </si>
  <si>
    <t>Chile_Chile_USA</t>
  </si>
  <si>
    <t>Uncertain_Uncertain_USA</t>
  </si>
  <si>
    <t>USA_USA_USA</t>
  </si>
  <si>
    <t>China_China_Canada</t>
  </si>
  <si>
    <t>Argentina_Canada</t>
  </si>
  <si>
    <t>Chile_Chile_Canada</t>
  </si>
  <si>
    <t>Uncertain_Uncertain_Canada</t>
  </si>
  <si>
    <t>Uncertain_Chile_Canada</t>
  </si>
  <si>
    <t>USA_USA_Canada</t>
  </si>
  <si>
    <t>Australia_China_China</t>
  </si>
  <si>
    <t>% Cath</t>
  </si>
  <si>
    <t>Chile_Chile_China</t>
  </si>
  <si>
    <t>% Ref</t>
  </si>
  <si>
    <t>Argentina_Argentina_China</t>
  </si>
  <si>
    <t>% Mine</t>
  </si>
  <si>
    <t>Australia_China_USA</t>
  </si>
  <si>
    <t>Australia_USA_USA</t>
  </si>
  <si>
    <t>Australia_China_Canada</t>
  </si>
  <si>
    <t>Argentina_Argentina_Canada</t>
  </si>
  <si>
    <t>Australia_USA_Canada</t>
  </si>
  <si>
    <t>Fig 4e</t>
  </si>
  <si>
    <t>Fig 4f</t>
  </si>
  <si>
    <t>Fig 4g</t>
  </si>
  <si>
    <t>MAXIMUM / MAXIMUM WITH UNCERTAIN (same, no uncertainty)</t>
  </si>
  <si>
    <t>Argentina_Japan</t>
  </si>
  <si>
    <t>China_Japan</t>
  </si>
  <si>
    <t>Chile_Japan</t>
  </si>
  <si>
    <t>China_SK</t>
  </si>
  <si>
    <t>Uncertain_Japan</t>
  </si>
  <si>
    <t>Chile_SK</t>
  </si>
  <si>
    <t>China_China_Japan</t>
  </si>
  <si>
    <t>Argentina_SK</t>
  </si>
  <si>
    <t>China_China_SK</t>
  </si>
  <si>
    <t>USA_Japan</t>
  </si>
  <si>
    <t>Uncertain_SK</t>
  </si>
  <si>
    <t>Argentina_Argentina_Japan</t>
  </si>
  <si>
    <t>Chile_Chile_Japan</t>
  </si>
  <si>
    <t>USA_SK</t>
  </si>
  <si>
    <t>Uncertain_Uncertain_Japan</t>
  </si>
  <si>
    <t>Chile_Chile_SK</t>
  </si>
  <si>
    <t>Argentina_Argentina_SK</t>
  </si>
  <si>
    <t>Uncertain_Uncertain_SK</t>
  </si>
  <si>
    <t>Australia_China_Japan</t>
  </si>
  <si>
    <t>Australia_USA_Japan</t>
  </si>
  <si>
    <t>USA_USA_Japan</t>
  </si>
  <si>
    <t>Australia_China_SK</t>
  </si>
  <si>
    <t>Australia_USA_SK</t>
  </si>
  <si>
    <t>China--&gt; China</t>
  </si>
  <si>
    <t>USA_USA_SK</t>
  </si>
  <si>
    <t>Chile --&gt; China</t>
  </si>
  <si>
    <t>Arg --&gt; China</t>
  </si>
  <si>
    <t>Proportional dependence</t>
  </si>
  <si>
    <t>Out</t>
  </si>
  <si>
    <t>In (minus missing)</t>
  </si>
  <si>
    <t>China_cath_poss = China, Chile, Argentina</t>
  </si>
  <si>
    <t>Arg --&gt; SK</t>
  </si>
  <si>
    <t>SK_cath_poss = Argentina, Chile, China, USA</t>
  </si>
  <si>
    <t>Chile --&gt; SK</t>
  </si>
  <si>
    <t>Japan_cath_poss = Argentina, Chile, China, USA</t>
  </si>
  <si>
    <t>China --&gt; SK</t>
  </si>
  <si>
    <t>Arg_ref = Arg_mine</t>
  </si>
  <si>
    <t>USA --&gt; SK</t>
  </si>
  <si>
    <t>Chile_ref = Chile_mine</t>
  </si>
  <si>
    <t>China_ref = Australia_mine, China_mine</t>
  </si>
  <si>
    <t>Arg --&gt; Japan</t>
  </si>
  <si>
    <t>USA_ref = USA_mine, Australia_mine</t>
  </si>
  <si>
    <t>Chile --&gt; Japan</t>
  </si>
  <si>
    <t>China --&gt; Japan</t>
  </si>
  <si>
    <t>USA --&gt; Japan</t>
  </si>
  <si>
    <t>Japan_China</t>
  </si>
  <si>
    <t>Finland_Japan</t>
  </si>
  <si>
    <t>SK_China</t>
  </si>
  <si>
    <t>SK_Japan</t>
  </si>
  <si>
    <t>Norway_China</t>
  </si>
  <si>
    <t>Norway_SK</t>
  </si>
  <si>
    <t>Finland_China</t>
  </si>
  <si>
    <t>Finland_SK</t>
  </si>
  <si>
    <t>UK_China</t>
  </si>
  <si>
    <t>SK_SK</t>
  </si>
  <si>
    <t>SouthAfrica_China</t>
  </si>
  <si>
    <t>France_China</t>
  </si>
  <si>
    <t>Canada_Finland_Japan</t>
  </si>
  <si>
    <t>Uncertain_Finland_Japan</t>
  </si>
  <si>
    <t>NewCaledonia_SK_Japan</t>
  </si>
  <si>
    <t>Norway_Japan</t>
  </si>
  <si>
    <t>Uncertain_Norway_SK</t>
  </si>
  <si>
    <t>Uncertain_Finland_SK</t>
  </si>
  <si>
    <t>UK_Japan</t>
  </si>
  <si>
    <t>NewCaledonia_SK_SK</t>
  </si>
  <si>
    <t>SouthAfrica_Japan</t>
  </si>
  <si>
    <t>China_SK_SK</t>
  </si>
  <si>
    <t>UK_SK</t>
  </si>
  <si>
    <t>SouthAfrica_SK</t>
  </si>
  <si>
    <t>Philippines_China_China</t>
  </si>
  <si>
    <t>NewCaledonia_China_China</t>
  </si>
  <si>
    <t>Indonesia_China_China</t>
  </si>
  <si>
    <t>Russia_China_China</t>
  </si>
  <si>
    <t>Brazil_China_China</t>
  </si>
  <si>
    <t>Philippines_Japan_China</t>
  </si>
  <si>
    <t>NewCaledonia_Japan_China</t>
  </si>
  <si>
    <t>China_SK_China</t>
  </si>
  <si>
    <t>NewCaledonia_SK_China</t>
  </si>
  <si>
    <t>Norway_Norway_China</t>
  </si>
  <si>
    <t>Canada_Finland_China</t>
  </si>
  <si>
    <t>UK_UK_China</t>
  </si>
  <si>
    <t>Brazil_SouthAfrica_China</t>
  </si>
  <si>
    <t>France_France_China</t>
  </si>
  <si>
    <t>Philippines_China_Japan</t>
  </si>
  <si>
    <t>NewCaledonia_China_Japan</t>
  </si>
  <si>
    <t>Indonesia_China_Japan</t>
  </si>
  <si>
    <t>Russia_China_Japan</t>
  </si>
  <si>
    <t>Brazil_China_Japan</t>
  </si>
  <si>
    <t>China_SK_Japan</t>
  </si>
  <si>
    <t>Norway_Norway_Japan</t>
  </si>
  <si>
    <t>UK_UK_Japan</t>
  </si>
  <si>
    <t>Brazil_SouthAfrica_Japan</t>
  </si>
  <si>
    <t>Philippines_China_SK</t>
  </si>
  <si>
    <t>NewCaledonia_China_SK</t>
  </si>
  <si>
    <t>Indonesia_China_SK</t>
  </si>
  <si>
    <t>Russia_China_SK</t>
  </si>
  <si>
    <t>Brazil_China_SK</t>
  </si>
  <si>
    <t>Norway_Norway_SK</t>
  </si>
  <si>
    <t>Canada_Finland_SK</t>
  </si>
  <si>
    <t>UK_UK_SK</t>
  </si>
  <si>
    <t>Brazil_SouthAfrica_SK</t>
  </si>
  <si>
    <t>USA_China</t>
  </si>
  <si>
    <t>Japan_Japan</t>
  </si>
  <si>
    <t>India_Japan</t>
  </si>
  <si>
    <t>Colombia_Japan</t>
  </si>
  <si>
    <t>Japan_SK</t>
  </si>
  <si>
    <t>India_SK</t>
  </si>
  <si>
    <t>Australia_Japan_Japan</t>
  </si>
  <si>
    <t>India_India_Japan</t>
  </si>
  <si>
    <t>SouthAfrica_Japan_Japan</t>
  </si>
  <si>
    <t>China_India_Japan</t>
  </si>
  <si>
    <t>Uncertain_India_Japan</t>
  </si>
  <si>
    <t>Gabon_China_China</t>
  </si>
  <si>
    <t>Australia_Japan_SK</t>
  </si>
  <si>
    <t>China_Japan_SK</t>
  </si>
  <si>
    <t>Uncertain_USA_Japan</t>
  </si>
  <si>
    <t>Ghana_China_China</t>
  </si>
  <si>
    <t>India_India_SK</t>
  </si>
  <si>
    <t>SouthAfrica_Japan_SK</t>
  </si>
  <si>
    <t>Uncertain_Colombia_Japan</t>
  </si>
  <si>
    <t>Kazakhstan_China_China</t>
  </si>
  <si>
    <t>China_India_SK</t>
  </si>
  <si>
    <t>Malaysia_China_China</t>
  </si>
  <si>
    <t>SouthAfrica_USA_SK</t>
  </si>
  <si>
    <t>Mexico_China_China</t>
  </si>
  <si>
    <t>Myanmar_China_China</t>
  </si>
  <si>
    <t>Uncertain_Japan_SK</t>
  </si>
  <si>
    <t>SouthAfrica_China_China</t>
  </si>
  <si>
    <t>Uncertain_USA_SK</t>
  </si>
  <si>
    <t>Brazil_USA_China</t>
  </si>
  <si>
    <t>Uncertain_India_SK</t>
  </si>
  <si>
    <t>Gabon_USA_China</t>
  </si>
  <si>
    <t>Mexico_USA_China</t>
  </si>
  <si>
    <t>SouthAfrica_USA_China</t>
  </si>
  <si>
    <t>Ukraine_USA_China</t>
  </si>
  <si>
    <t>Myanmar_China_Japan</t>
  </si>
  <si>
    <t>Gabon_China_Japan</t>
  </si>
  <si>
    <t>Ghana_China_Japan</t>
  </si>
  <si>
    <t>Kazakhstan_China_Japan</t>
  </si>
  <si>
    <t>Malaysia_China_Japan</t>
  </si>
  <si>
    <t>Mexico_China_Japan</t>
  </si>
  <si>
    <t>SouthAfrica_China_Japan</t>
  </si>
  <si>
    <t>China_Japan_Japan</t>
  </si>
  <si>
    <t>Brazil_Japan_Japan</t>
  </si>
  <si>
    <t>Gabon_Japan_Japan</t>
  </si>
  <si>
    <t>India_Japan_Japan</t>
  </si>
  <si>
    <t>Brazil_USA_Japan</t>
  </si>
  <si>
    <t>Gabon_USA_Japan</t>
  </si>
  <si>
    <t>Mexico_USA_Japan</t>
  </si>
  <si>
    <t>SouthAfrica_USA_Japan</t>
  </si>
  <si>
    <t>Ukraine_USA_Japan</t>
  </si>
  <si>
    <t>Australia_India_Japan</t>
  </si>
  <si>
    <t>Brazil_India_Japan</t>
  </si>
  <si>
    <t>Gabon_India_Japan</t>
  </si>
  <si>
    <t>SouthAfrica_India_Japan</t>
  </si>
  <si>
    <t>Brazil_Colombia_Japan</t>
  </si>
  <si>
    <t>Myanmar_China_SK</t>
  </si>
  <si>
    <t>Gabon_China_SK</t>
  </si>
  <si>
    <t>Ghana_China_SK</t>
  </si>
  <si>
    <t>Kazakhstan_China_SK</t>
  </si>
  <si>
    <t>Malaysia_China_SK</t>
  </si>
  <si>
    <t>Mexico_China_SK</t>
  </si>
  <si>
    <t>SouthAfrica_China_SK</t>
  </si>
  <si>
    <t>Brazil_Japan_SK</t>
  </si>
  <si>
    <t>Gabon_Japan_SK</t>
  </si>
  <si>
    <t>India_Japan_SK</t>
  </si>
  <si>
    <t>Brazil_USA_SK</t>
  </si>
  <si>
    <t>Gabon_USA_SK</t>
  </si>
  <si>
    <t>Mexico_USA_SK</t>
  </si>
  <si>
    <t>Ukraine_USA_SK</t>
  </si>
  <si>
    <t>Australia_India_SK</t>
  </si>
  <si>
    <t>Brazil_India_SK</t>
  </si>
  <si>
    <t>Gabon_India_SK</t>
  </si>
  <si>
    <t>SouthAfrica_India_SK</t>
  </si>
  <si>
    <t>DRC_China</t>
  </si>
  <si>
    <t>Australia_Japan</t>
  </si>
  <si>
    <t>Australia_China</t>
  </si>
  <si>
    <t>Canada_Japan</t>
  </si>
  <si>
    <t>Belgium_China</t>
  </si>
  <si>
    <t>Canada_China</t>
  </si>
  <si>
    <t>Madagascar_Japan</t>
  </si>
  <si>
    <t>Morocco_Japan</t>
  </si>
  <si>
    <t>Madagascar_China</t>
  </si>
  <si>
    <t>Morocco_China</t>
  </si>
  <si>
    <t>DRC_SK</t>
  </si>
  <si>
    <t>Australia_SK</t>
  </si>
  <si>
    <t>Zambia_China</t>
  </si>
  <si>
    <t>Canada_SK</t>
  </si>
  <si>
    <t>Morocco_SK</t>
  </si>
  <si>
    <t>Belgium_Japan</t>
  </si>
  <si>
    <t>Australia_Australia_Japan</t>
  </si>
  <si>
    <t>Canada_Canada_Japan</t>
  </si>
  <si>
    <t>Madagascar_Madagascar_Japan</t>
  </si>
  <si>
    <t>Morocco_Morocco_Japan</t>
  </si>
  <si>
    <t>DRC_DRC_SK</t>
  </si>
  <si>
    <t>Uncertain_DRC_SK</t>
  </si>
  <si>
    <t>Zambia_Japan</t>
  </si>
  <si>
    <t>Australia_Australia_SK</t>
  </si>
  <si>
    <t>Canada_Canada_SK</t>
  </si>
  <si>
    <t>Morocco_Morocco_SK</t>
  </si>
  <si>
    <t>Belgium_SK</t>
  </si>
  <si>
    <t>Zambia_SK</t>
  </si>
  <si>
    <t>DRC_China_China</t>
  </si>
  <si>
    <t>DRC_DRC_China</t>
  </si>
  <si>
    <t>Australia_Australia_China</t>
  </si>
  <si>
    <t>Belgium_Belgium_China</t>
  </si>
  <si>
    <t>Canada_Canada_China</t>
  </si>
  <si>
    <t>Finland_Finland_China</t>
  </si>
  <si>
    <t>Madagascar_Madagascar_China</t>
  </si>
  <si>
    <t>DRC_Morocco_China</t>
  </si>
  <si>
    <t>Morocco_Morocco_China</t>
  </si>
  <si>
    <t>SouthAfrica_SouthAfrica_China</t>
  </si>
  <si>
    <t>Zambia_Zambia_China</t>
  </si>
  <si>
    <t>DRC_China_Japan</t>
  </si>
  <si>
    <t>Japan_Japan_Japan</t>
  </si>
  <si>
    <t>Belgium_Belgium_Japan</t>
  </si>
  <si>
    <t>Finland_Finland_Japan</t>
  </si>
  <si>
    <t>Madgascar_Madagascar_Japan</t>
  </si>
  <si>
    <t>DRC_Morocco_Japan</t>
  </si>
  <si>
    <t>SouthAfrica_SouthAfrica_Japan</t>
  </si>
  <si>
    <t>Zambia_Zambia_Japan</t>
  </si>
  <si>
    <t>DRC_China_SK</t>
  </si>
  <si>
    <t>Japan_Japan_SK</t>
  </si>
  <si>
    <t>Belgium_Belgium_SK</t>
  </si>
  <si>
    <t>Finland_Finland_SK</t>
  </si>
  <si>
    <t>DRC_Morocco_SK</t>
  </si>
  <si>
    <t>SouthAfrica_SouthAfrica_SK</t>
  </si>
  <si>
    <t>Zambia_Zambia_SK</t>
  </si>
  <si>
    <t>LiFePO4</t>
  </si>
  <si>
    <t>% Li</t>
  </si>
  <si>
    <t>% P</t>
  </si>
  <si>
    <t>% Fe</t>
  </si>
  <si>
    <t>Mole. Weight</t>
  </si>
  <si>
    <t>NMC</t>
  </si>
  <si>
    <t>Tot. Mole. Wt.</t>
  </si>
  <si>
    <t>% Ni</t>
  </si>
  <si>
    <t>% Co</t>
  </si>
  <si>
    <t>% Mn</t>
  </si>
  <si>
    <t>Market Share</t>
  </si>
  <si>
    <t>Li</t>
  </si>
  <si>
    <t>NCM333</t>
  </si>
  <si>
    <t>Nickel</t>
  </si>
  <si>
    <t>NCM523</t>
  </si>
  <si>
    <t>Cobalt</t>
  </si>
  <si>
    <t>NCM622</t>
  </si>
  <si>
    <t>Manganese</t>
  </si>
  <si>
    <t>NCM721</t>
  </si>
  <si>
    <t>Oxygen</t>
  </si>
  <si>
    <t>NCM811</t>
  </si>
  <si>
    <t>Iron</t>
  </si>
  <si>
    <t>Phosphate</t>
  </si>
  <si>
    <t>Weighted Ave.</t>
  </si>
  <si>
    <t>Aluminum</t>
  </si>
  <si>
    <t>(Chosen weights)</t>
  </si>
  <si>
    <t>Results</t>
  </si>
  <si>
    <t>NCM-Li Low</t>
  </si>
  <si>
    <t>NCM-Li High</t>
  </si>
  <si>
    <t>NCM-Ni Low</t>
  </si>
  <si>
    <t>NCM-Ni High</t>
  </si>
  <si>
    <t>NCM-Co Low</t>
  </si>
  <si>
    <t>NCM-Co High</t>
  </si>
  <si>
    <t>NCM-Mn Low</t>
  </si>
  <si>
    <t>NCM-Mn High</t>
  </si>
  <si>
    <t>Blend</t>
  </si>
  <si>
    <t>NCA</t>
  </si>
  <si>
    <t>Al</t>
  </si>
  <si>
    <t>% Al</t>
  </si>
  <si>
    <t>Molecular Ratio</t>
  </si>
  <si>
    <t>Brazil</t>
  </si>
  <si>
    <t>Norway</t>
  </si>
  <si>
    <t>Finland</t>
  </si>
  <si>
    <t>Chile</t>
  </si>
  <si>
    <t>Argentina</t>
  </si>
  <si>
    <t>Gabon</t>
  </si>
  <si>
    <t>Ghana</t>
  </si>
  <si>
    <t>Kazakhstan</t>
  </si>
  <si>
    <t>Malaysia</t>
  </si>
  <si>
    <t>Mexico</t>
  </si>
  <si>
    <t>Myanmar</t>
  </si>
  <si>
    <t>Ukraine</t>
  </si>
  <si>
    <t>India</t>
  </si>
  <si>
    <t>Colombia</t>
  </si>
  <si>
    <t>Democratic Republic of the Congo</t>
  </si>
  <si>
    <t>Belgium</t>
  </si>
  <si>
    <t>Madagascar</t>
  </si>
  <si>
    <t>Morocco</t>
  </si>
  <si>
    <t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</si>
</sst>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"/>
    <numFmt numFmtId="165" formatCode="0.000"/>
    <numFmt numFmtId="166" formatCode="0.0000000"/>
    <numFmt numFmtId="167" formatCode="0.0000"/>
    <numFmt numFmtId="168" formatCode="0.000000"/>
  </numFmts>
  <fonts count="8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2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0" borderId="0" xfId="0" applyFont="1"/>
    <xf numFmtId="2" fontId="3" fillId="0" borderId="0" xfId="0" applyNumberFormat="1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10" fontId="3" fillId="0" borderId="0" xfId="0" applyNumberFormat="1" applyFont="1"/>
    <xf numFmtId="2" fontId="1" fillId="0" borderId="0" xfId="0" applyNumberFormat="1" applyFont="1" applyAlignment="1">
      <alignment horizontal="right"/>
    </xf>
    <xf numFmtId="3" fontId="3" fillId="0" borderId="0" xfId="0" applyNumberFormat="1" applyFont="1"/>
    <xf numFmtId="0" fontId="5" fillId="2" borderId="0" xfId="0" applyFont="1" applyFill="1" applyAlignment="1">
      <alignment horizontal="right"/>
    </xf>
    <xf numFmtId="2" fontId="1" fillId="0" borderId="0" xfId="0" applyNumberFormat="1" applyFont="1"/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1" fillId="3" borderId="0" xfId="0" applyFont="1" applyFill="1"/>
    <xf numFmtId="165" fontId="1" fillId="3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 applyAlignment="1">
      <alignment horizontal="right"/>
    </xf>
    <xf numFmtId="10" fontId="1" fillId="0" borderId="0" xfId="0" applyNumberFormat="1" applyFont="1" applyAlignment="1">
      <alignment horizontal="right"/>
    </xf>
    <xf numFmtId="10" fontId="6" fillId="0" borderId="0" xfId="0" applyNumberFormat="1" applyFont="1" applyAlignment="1">
      <alignment horizontal="right"/>
    </xf>
    <xf numFmtId="164" fontId="3" fillId="0" borderId="0" xfId="0" applyNumberFormat="1" applyFont="1"/>
    <xf numFmtId="2" fontId="1" fillId="4" borderId="0" xfId="0" applyNumberFormat="1" applyFont="1" applyFill="1" applyAlignment="1">
      <alignment horizontal="right"/>
    </xf>
    <xf numFmtId="2" fontId="3" fillId="4" borderId="0" xfId="0" applyNumberFormat="1" applyFont="1" applyFill="1"/>
    <xf numFmtId="0" fontId="3" fillId="4" borderId="0" xfId="0" applyFont="1" applyFill="1"/>
    <xf numFmtId="2" fontId="0" fillId="0" borderId="0" xfId="0" applyNumberFormat="1"/>
    <xf numFmtId="0" fontId="3" fillId="5" borderId="0" xfId="0" applyFont="1" applyFill="1"/>
    <xf numFmtId="2" fontId="3" fillId="5" borderId="0" xfId="0" applyNumberFormat="1" applyFont="1" applyFill="1"/>
    <xf numFmtId="0" fontId="3" fillId="6" borderId="0" xfId="0" applyFont="1" applyFill="1"/>
    <xf numFmtId="167" fontId="0" fillId="0" borderId="0" xfId="0" applyNumberFormat="1"/>
    <xf numFmtId="166" fontId="3" fillId="0" borderId="0" xfId="0" applyNumberFormat="1" applyFont="1"/>
    <xf numFmtId="1" fontId="4" fillId="0" borderId="0" xfId="0" applyNumberFormat="1" applyFont="1"/>
    <xf numFmtId="0" fontId="4" fillId="2" borderId="0" xfId="0" applyFont="1" applyFill="1" applyAlignment="1">
      <alignment horizontal="left"/>
    </xf>
    <xf numFmtId="168" fontId="0" fillId="0" borderId="0" xfId="0" applyNumberFormat="1"/>
    <xf numFmtId="165" fontId="1" fillId="0" borderId="0" xfId="1" applyNumberFormat="1" applyFont="1" applyAlignment="1">
      <alignment horizontal="right"/>
    </xf>
    <xf numFmtId="10" fontId="0" fillId="0" borderId="0" xfId="1" applyNumberFormat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4(a-d) - LFP-Li'!$A$4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LFP-Li'!$B$4:$E$4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3520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140-D047-8FB7-95043C5E5461}"/>
            </c:ext>
          </c:extLst>
        </c:ser>
        <c:ser>
          <c:idx val="1"/>
          <c:order val="1"/>
          <c:tx>
            <c:strRef>
              <c:f>'Fig 4(a-d) - LFP-Li'!$A$5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LFP-Li'!$B$5:$E$5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176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140-D047-8FB7-95043C5E5461}"/>
            </c:ext>
          </c:extLst>
        </c:ser>
        <c:ser>
          <c:idx val="2"/>
          <c:order val="2"/>
          <c:tx>
            <c:strRef>
              <c:f>'Fig 4(a-d) - LFP-Li'!$A$6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LFP-Li'!$B$6:$E$6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219.99999999999997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140-D047-8FB7-95043C5E5461}"/>
            </c:ext>
          </c:extLst>
        </c:ser>
        <c:ser>
          <c:idx val="3"/>
          <c:order val="3"/>
          <c:tx>
            <c:strRef>
              <c:f>'Fig 4(a-d) - LFP-Li'!$A$7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LFP-Li'!$B$7:$E$7</c:f>
              <c:numCache>
                <c:formatCode>0.00</c:formatCode>
                <c:ptCount val="4"/>
                <c:pt idx="0">
                  <c:v>0</c:v>
                </c:pt>
                <c:pt idx="1">
                  <c:v>2713.0840213695969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140-D047-8FB7-95043C5E5461}"/>
            </c:ext>
          </c:extLst>
        </c:ser>
        <c:ser>
          <c:idx val="4"/>
          <c:order val="4"/>
          <c:tx>
            <c:strRef>
              <c:f>'Fig 4(a-d) - LFP-Li'!$A$8</c:f>
              <c:strCache>
                <c:ptCount val="1"/>
                <c:pt idx="0">
                  <c:v>Chile_China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LFP-Li'!$B$8:$E$8</c:f>
              <c:numCache>
                <c:formatCode>0.00</c:formatCode>
                <c:ptCount val="4"/>
                <c:pt idx="0">
                  <c:v>0</c:v>
                </c:pt>
                <c:pt idx="1">
                  <c:v>600.91306459446332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140-D047-8FB7-95043C5E5461}"/>
            </c:ext>
          </c:extLst>
        </c:ser>
        <c:ser>
          <c:idx val="5"/>
          <c:order val="5"/>
          <c:tx>
            <c:strRef>
              <c:f>'Fig 4(a-d) - LFP-Li'!$A$9</c:f>
              <c:strCache>
                <c:ptCount val="1"/>
                <c:pt idx="0">
                  <c:v>Argentina_China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LFP-Li'!$B$9:$E$9</c:f>
              <c:numCache>
                <c:formatCode>0.00</c:formatCode>
                <c:ptCount val="4"/>
                <c:pt idx="0">
                  <c:v>0</c:v>
                </c:pt>
                <c:pt idx="1">
                  <c:v>206.00291403593977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2140-D047-8FB7-95043C5E5461}"/>
            </c:ext>
          </c:extLst>
        </c:ser>
        <c:ser>
          <c:idx val="6"/>
          <c:order val="6"/>
          <c:tx>
            <c:strRef>
              <c:f>'Fig 4(a-d) - LFP-Li'!$A$10</c:f>
              <c:strCache>
                <c:ptCount val="1"/>
                <c:pt idx="0">
                  <c:v>China_USA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LFP-Li'!$B$10:$E$10</c:f>
              <c:numCache>
                <c:formatCode>0.00</c:formatCode>
                <c:ptCount val="4"/>
                <c:pt idx="0">
                  <c:v>0</c:v>
                </c:pt>
                <c:pt idx="1">
                  <c:v>1.9526627218934913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2140-D047-8FB7-95043C5E5461}"/>
            </c:ext>
          </c:extLst>
        </c:ser>
        <c:ser>
          <c:idx val="7"/>
          <c:order val="7"/>
          <c:tx>
            <c:strRef>
              <c:f>'Fig 4(a-d) - LFP-Li'!$A$11</c:f>
              <c:strCache>
                <c:ptCount val="1"/>
                <c:pt idx="0">
                  <c:v>Chile_USA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LFP-Li'!$B$11:$E$11</c:f>
              <c:numCache>
                <c:formatCode>0.00</c:formatCode>
                <c:ptCount val="4"/>
                <c:pt idx="0">
                  <c:v>0</c:v>
                </c:pt>
                <c:pt idx="1">
                  <c:v>45.353846153846149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2140-D047-8FB7-95043C5E5461}"/>
            </c:ext>
          </c:extLst>
        </c:ser>
        <c:ser>
          <c:idx val="8"/>
          <c:order val="8"/>
          <c:tx>
            <c:strRef>
              <c:f>'Fig 4(a-d) - LFP-Li'!$A$12</c:f>
              <c:strCache>
                <c:ptCount val="1"/>
                <c:pt idx="0">
                  <c:v>Argentina_USA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LFP-Li'!$B$12:$E$12</c:f>
              <c:numCache>
                <c:formatCode>0.00</c:formatCode>
                <c:ptCount val="4"/>
                <c:pt idx="0">
                  <c:v>0</c:v>
                </c:pt>
                <c:pt idx="1">
                  <c:v>72.691124260355025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2140-D047-8FB7-95043C5E5461}"/>
            </c:ext>
          </c:extLst>
        </c:ser>
        <c:ser>
          <c:idx val="9"/>
          <c:order val="9"/>
          <c:tx>
            <c:strRef>
              <c:f>'Fig 4(a-d) - LFP-Li'!$A$13</c:f>
              <c:strCache>
                <c:ptCount val="1"/>
                <c:pt idx="0">
                  <c:v>USA_USA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LFP-Li'!$B$13:$E$13</c:f>
              <c:numCache>
                <c:formatCode>0.00</c:formatCode>
                <c:ptCount val="4"/>
                <c:pt idx="0">
                  <c:v>0</c:v>
                </c:pt>
                <c:pt idx="1">
                  <c:v>56.00236686390533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2140-D047-8FB7-95043C5E5461}"/>
            </c:ext>
          </c:extLst>
        </c:ser>
        <c:ser>
          <c:idx val="10"/>
          <c:order val="10"/>
          <c:tx>
            <c:strRef>
              <c:f>'Fig 4(a-d) - LFP-Li'!$A$14</c:f>
              <c:strCache>
                <c:ptCount val="1"/>
                <c:pt idx="0">
                  <c:v>China_Canada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LFP-Li'!$B$14:$E$14</c:f>
              <c:numCache>
                <c:formatCode>0.00</c:formatCode>
                <c:ptCount val="4"/>
                <c:pt idx="0">
                  <c:v>0</c:v>
                </c:pt>
                <c:pt idx="1">
                  <c:v>65.0096463022508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2140-D047-8FB7-95043C5E5461}"/>
            </c:ext>
          </c:extLst>
        </c:ser>
        <c:ser>
          <c:idx val="11"/>
          <c:order val="11"/>
          <c:tx>
            <c:strRef>
              <c:f>'Fig 4(a-d) - LFP-Li'!$A$15</c:f>
              <c:strCache>
                <c:ptCount val="1"/>
                <c:pt idx="0">
                  <c:v>Chile_Canada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LFP-Li'!$B$15:$E$15</c:f>
              <c:numCache>
                <c:formatCode>0.00</c:formatCode>
                <c:ptCount val="4"/>
                <c:pt idx="0">
                  <c:v>0</c:v>
                </c:pt>
                <c:pt idx="1">
                  <c:v>118.48874598070738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2140-D047-8FB7-95043C5E5461}"/>
            </c:ext>
          </c:extLst>
        </c:ser>
        <c:ser>
          <c:idx val="12"/>
          <c:order val="12"/>
          <c:tx>
            <c:strRef>
              <c:f>'Fig 4(a-d) - LFP-Li'!$A$16</c:f>
              <c:strCache>
                <c:ptCount val="1"/>
                <c:pt idx="0">
                  <c:v>Argentina_Canada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LFP-Li'!$B$16:$E$16</c:f>
              <c:numCache>
                <c:formatCode>0.00</c:formatCode>
                <c:ptCount val="4"/>
                <c:pt idx="0">
                  <c:v>0</c:v>
                </c:pt>
                <c:pt idx="1">
                  <c:v>1.2733118971061095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2140-D047-8FB7-95043C5E5461}"/>
            </c:ext>
          </c:extLst>
        </c:ser>
        <c:ser>
          <c:idx val="13"/>
          <c:order val="13"/>
          <c:tx>
            <c:strRef>
              <c:f>'Fig 4(a-d) - LFP-Li'!$A$17</c:f>
              <c:strCache>
                <c:ptCount val="1"/>
                <c:pt idx="0">
                  <c:v>USA_Canada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LFP-Li'!$B$17:$E$17</c:f>
              <c:numCache>
                <c:formatCode>0.00</c:formatCode>
                <c:ptCount val="4"/>
                <c:pt idx="0">
                  <c:v>0</c:v>
                </c:pt>
                <c:pt idx="1">
                  <c:v>35.228295819935688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2140-D047-8FB7-95043C5E5461}"/>
            </c:ext>
          </c:extLst>
        </c:ser>
        <c:ser>
          <c:idx val="14"/>
          <c:order val="14"/>
          <c:tx>
            <c:strRef>
              <c:f>'Fig 4(a-d) - LFP-Li'!$A$18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2140-D047-8FB7-95043C5E5461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LFP-Li'!$B$18:$E$18</c:f>
              <c:numCache>
                <c:formatCode>0.00</c:formatCode>
                <c:ptCount val="4"/>
                <c:pt idx="0">
                  <c:v>588.64628848638893</c:v>
                </c:pt>
                <c:pt idx="1">
                  <c:v>0</c:v>
                </c:pt>
                <c:pt idx="2" formatCode="General">
                  <c:v>0</c:v>
                </c:pt>
                <c:pt idx="3">
                  <c:v>588.64628848638893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2140-D047-8FB7-95043C5E5461}"/>
            </c:ext>
          </c:extLst>
        </c:ser>
        <c:ser>
          <c:idx val="15"/>
          <c:order val="15"/>
          <c:tx>
            <c:strRef>
              <c:f>'Fig 4(a-d) - LFP-Li'!$A$19</c:f>
              <c:strCache>
                <c:ptCount val="1"/>
                <c:pt idx="0">
                  <c:v>Australia_China_China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2140-D047-8FB7-95043C5E5461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LFP-Li'!$B$19:$E$19</c:f>
              <c:numCache>
                <c:formatCode>0.00</c:formatCode>
                <c:ptCount val="4"/>
                <c:pt idx="0">
                  <c:v>2124.4377328832079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2124.4377328832079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2140-D047-8FB7-95043C5E5461}"/>
            </c:ext>
          </c:extLst>
        </c:ser>
        <c:ser>
          <c:idx val="16"/>
          <c:order val="16"/>
          <c:tx>
            <c:strRef>
              <c:f>'Fig 4(a-d) - LFP-Li'!$A$20</c:f>
              <c:strCache>
                <c:ptCount val="1"/>
                <c:pt idx="0">
                  <c:v>Chile_Chile_China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2140-D047-8FB7-95043C5E5461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LFP-Li'!$B$20:$E$20</c:f>
              <c:numCache>
                <c:formatCode>0.00</c:formatCode>
                <c:ptCount val="4"/>
                <c:pt idx="0">
                  <c:v>600.91306459446332</c:v>
                </c:pt>
                <c:pt idx="1">
                  <c:v>0</c:v>
                </c:pt>
                <c:pt idx="2" formatCode="General">
                  <c:v>0</c:v>
                </c:pt>
                <c:pt idx="3">
                  <c:v>600.91306459446332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2140-D047-8FB7-95043C5E5461}"/>
            </c:ext>
          </c:extLst>
        </c:ser>
        <c:ser>
          <c:idx val="17"/>
          <c:order val="17"/>
          <c:tx>
            <c:strRef>
              <c:f>'Fig 4(a-d) - LFP-Li'!$A$21</c:f>
              <c:strCache>
                <c:ptCount val="1"/>
                <c:pt idx="0">
                  <c:v>Argentina_Argentina_China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2140-D047-8FB7-95043C5E5461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LFP-Li'!$B$21:$E$21</c:f>
              <c:numCache>
                <c:formatCode>0.00</c:formatCode>
                <c:ptCount val="4"/>
                <c:pt idx="0">
                  <c:v>206.00291403593977</c:v>
                </c:pt>
                <c:pt idx="1">
                  <c:v>0</c:v>
                </c:pt>
                <c:pt idx="2" formatCode="General">
                  <c:v>0</c:v>
                </c:pt>
                <c:pt idx="3">
                  <c:v>206.00291403593977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5-2140-D047-8FB7-95043C5E5461}"/>
            </c:ext>
          </c:extLst>
        </c:ser>
        <c:ser>
          <c:idx val="18"/>
          <c:order val="18"/>
          <c:tx>
            <c:strRef>
              <c:f>'Fig 4(a-d) - LFP-Li'!$A$22</c:f>
              <c:strCache>
                <c:ptCount val="1"/>
                <c:pt idx="0">
                  <c:v>China_China_USA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LFP-Li'!$B$22:$E$22</c:f>
              <c:numCache>
                <c:formatCode>0.00</c:formatCode>
                <c:ptCount val="4"/>
                <c:pt idx="0">
                  <c:v>1.5290018050715755</c:v>
                </c:pt>
                <c:pt idx="1">
                  <c:v>0</c:v>
                </c:pt>
                <c:pt idx="2" formatCode="General">
                  <c:v>0</c:v>
                </c:pt>
                <c:pt idx="3">
                  <c:v>1.5290018050715755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2140-D047-8FB7-95043C5E5461}"/>
            </c:ext>
          </c:extLst>
        </c:ser>
        <c:ser>
          <c:idx val="19"/>
          <c:order val="19"/>
          <c:tx>
            <c:strRef>
              <c:f>'Fig 4(a-d) - LFP-Li'!$A$23</c:f>
              <c:strCache>
                <c:ptCount val="1"/>
                <c:pt idx="0">
                  <c:v>Australia_China_USA</c:v>
                </c:pt>
              </c:strCache>
            </c:strRef>
          </c:tx>
          <c:spPr>
            <a:solidFill>
              <a:srgbClr val="F4A8D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LFP-Li'!$B$23:$E$23</c:f>
              <c:numCache>
                <c:formatCode>0.00</c:formatCode>
                <c:ptCount val="4"/>
                <c:pt idx="0">
                  <c:v>0.42366091682191576</c:v>
                </c:pt>
                <c:pt idx="1">
                  <c:v>0</c:v>
                </c:pt>
                <c:pt idx="2" formatCode="General">
                  <c:v>0</c:v>
                </c:pt>
                <c:pt idx="3">
                  <c:v>0.42366091682191576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9-2140-D047-8FB7-95043C5E5461}"/>
            </c:ext>
          </c:extLst>
        </c:ser>
        <c:ser>
          <c:idx val="20"/>
          <c:order val="20"/>
          <c:tx>
            <c:strRef>
              <c:f>'Fig 4(a-d) - LFP-Li'!$A$24</c:f>
              <c:strCache>
                <c:ptCount val="1"/>
                <c:pt idx="0">
                  <c:v>Chile_Chile_USA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A-2140-D047-8FB7-95043C5E5461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C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LFP-Li'!$B$24:$E$24</c:f>
              <c:numCache>
                <c:formatCode>0.00</c:formatCode>
                <c:ptCount val="4"/>
                <c:pt idx="0">
                  <c:v>45.353846153846149</c:v>
                </c:pt>
                <c:pt idx="1">
                  <c:v>0</c:v>
                </c:pt>
                <c:pt idx="2" formatCode="General">
                  <c:v>0</c:v>
                </c:pt>
                <c:pt idx="3">
                  <c:v>45.353846153846149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D-2140-D047-8FB7-95043C5E5461}"/>
            </c:ext>
          </c:extLst>
        </c:ser>
        <c:ser>
          <c:idx val="21"/>
          <c:order val="21"/>
          <c:tx>
            <c:strRef>
              <c:f>'Fig 4(a-d) - LFP-Li'!$A$25</c:f>
              <c:strCache>
                <c:ptCount val="1"/>
                <c:pt idx="0">
                  <c:v>Argentina_Argentina_USA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LFP-Li'!$B$25:$E$25</c:f>
              <c:numCache>
                <c:formatCode>0.00</c:formatCode>
                <c:ptCount val="4"/>
                <c:pt idx="0">
                  <c:v>72.691124260355025</c:v>
                </c:pt>
                <c:pt idx="1">
                  <c:v>0</c:v>
                </c:pt>
                <c:pt idx="2" formatCode="General">
                  <c:v>0</c:v>
                </c:pt>
                <c:pt idx="3">
                  <c:v>72.691124260355025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2140-D047-8FB7-95043C5E5461}"/>
            </c:ext>
          </c:extLst>
        </c:ser>
        <c:ser>
          <c:idx val="22"/>
          <c:order val="22"/>
          <c:tx>
            <c:strRef>
              <c:f>'Fig 4(a-d) - LFP-Li'!$A$26</c:f>
              <c:strCache>
                <c:ptCount val="1"/>
                <c:pt idx="0">
                  <c:v>Australia_USA_USA</c:v>
                </c:pt>
              </c:strCache>
            </c:strRef>
          </c:tx>
          <c:spPr>
            <a:solidFill>
              <a:srgbClr val="F4A8D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2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LFP-Li'!$B$26:$E$26</c:f>
              <c:numCache>
                <c:formatCode>0.00</c:formatCode>
                <c:ptCount val="4"/>
                <c:pt idx="0">
                  <c:v>16.438505696370221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16.438505696370221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3-2140-D047-8FB7-95043C5E5461}"/>
            </c:ext>
          </c:extLst>
        </c:ser>
        <c:ser>
          <c:idx val="23"/>
          <c:order val="23"/>
          <c:tx>
            <c:strRef>
              <c:f>'Fig 4(a-d) - LFP-Li'!$A$27</c:f>
              <c:strCache>
                <c:ptCount val="1"/>
                <c:pt idx="0">
                  <c:v>USA_USA_USA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4-2140-D047-8FB7-95043C5E5461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6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LFP-Li'!$B$27:$E$27</c:f>
              <c:numCache>
                <c:formatCode>0.00</c:formatCode>
                <c:ptCount val="4"/>
                <c:pt idx="0">
                  <c:v>39.563861167535109</c:v>
                </c:pt>
                <c:pt idx="1">
                  <c:v>0</c:v>
                </c:pt>
                <c:pt idx="2" formatCode="General">
                  <c:v>0</c:v>
                </c:pt>
                <c:pt idx="3">
                  <c:v>39.563861167535109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7-2140-D047-8FB7-95043C5E5461}"/>
            </c:ext>
          </c:extLst>
        </c:ser>
        <c:ser>
          <c:idx val="24"/>
          <c:order val="24"/>
          <c:tx>
            <c:strRef>
              <c:f>'Fig 4(a-d) - LFP-Li'!$A$28</c:f>
              <c:strCache>
                <c:ptCount val="1"/>
                <c:pt idx="0">
                  <c:v>China_China_Canada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8-2140-D047-8FB7-95043C5E5461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LFP-Li'!$B$28:$E$28</c:f>
              <c:numCache>
                <c:formatCode>0.00</c:formatCode>
                <c:ptCount val="4"/>
                <c:pt idx="0">
                  <c:v>50.904780138793448</c:v>
                </c:pt>
                <c:pt idx="1">
                  <c:v>0</c:v>
                </c:pt>
                <c:pt idx="2" formatCode="General">
                  <c:v>0</c:v>
                </c:pt>
                <c:pt idx="3">
                  <c:v>50.904780138793448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B-2140-D047-8FB7-95043C5E5461}"/>
            </c:ext>
          </c:extLst>
        </c:ser>
        <c:ser>
          <c:idx val="25"/>
          <c:order val="25"/>
          <c:tx>
            <c:strRef>
              <c:f>'Fig 4(a-d) - LFP-Li'!$A$29</c:f>
              <c:strCache>
                <c:ptCount val="1"/>
                <c:pt idx="0">
                  <c:v>Australia_China_Canada</c:v>
                </c:pt>
              </c:strCache>
            </c:strRef>
          </c:tx>
          <c:spPr>
            <a:solidFill>
              <a:srgbClr val="F4A8D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D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LFP-Li'!$B$29:$E$29</c:f>
              <c:numCache>
                <c:formatCode>0.00</c:formatCode>
                <c:ptCount val="4"/>
                <c:pt idx="0">
                  <c:v>14.104866163457354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14.104866163457354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E-2140-D047-8FB7-95043C5E5461}"/>
            </c:ext>
          </c:extLst>
        </c:ser>
        <c:ser>
          <c:idx val="26"/>
          <c:order val="26"/>
          <c:tx>
            <c:strRef>
              <c:f>'Fig 4(a-d) - LFP-Li'!$A$30</c:f>
              <c:strCache>
                <c:ptCount val="1"/>
                <c:pt idx="0">
                  <c:v>Chile_Chile_Canada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F-2140-D047-8FB7-95043C5E5461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1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LFP-Li'!$B$30:$E$30</c:f>
              <c:numCache>
                <c:formatCode>0.00</c:formatCode>
                <c:ptCount val="4"/>
                <c:pt idx="0">
                  <c:v>118.48874598070738</c:v>
                </c:pt>
                <c:pt idx="1">
                  <c:v>0</c:v>
                </c:pt>
                <c:pt idx="2" formatCode="General">
                  <c:v>0</c:v>
                </c:pt>
                <c:pt idx="3">
                  <c:v>118.48874598070738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2-2140-D047-8FB7-95043C5E5461}"/>
            </c:ext>
          </c:extLst>
        </c:ser>
        <c:ser>
          <c:idx val="27"/>
          <c:order val="27"/>
          <c:tx>
            <c:strRef>
              <c:f>'Fig 4(a-d) - LFP-Li'!$A$31</c:f>
              <c:strCache>
                <c:ptCount val="1"/>
                <c:pt idx="0">
                  <c:v>Argentina_Argentina_Canada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LFP-Li'!$B$31:$E$31</c:f>
              <c:numCache>
                <c:formatCode>0.00</c:formatCode>
                <c:ptCount val="4"/>
                <c:pt idx="0">
                  <c:v>1.2733118971061095</c:v>
                </c:pt>
                <c:pt idx="1">
                  <c:v>0</c:v>
                </c:pt>
                <c:pt idx="2" formatCode="General">
                  <c:v>0</c:v>
                </c:pt>
                <c:pt idx="3">
                  <c:v>1.2733118971061095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3-2140-D047-8FB7-95043C5E5461}"/>
            </c:ext>
          </c:extLst>
        </c:ser>
        <c:ser>
          <c:idx val="28"/>
          <c:order val="28"/>
          <c:tx>
            <c:strRef>
              <c:f>'Fig 4(a-d) - LFP-Li'!$A$32</c:f>
              <c:strCache>
                <c:ptCount val="1"/>
                <c:pt idx="0">
                  <c:v>Australia_USA_Canada</c:v>
                </c:pt>
              </c:strCache>
            </c:strRef>
          </c:tx>
          <c:spPr>
            <a:solidFill>
              <a:srgbClr val="F4A8D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LFP-Li'!$B$32:$E$32</c:f>
              <c:numCache>
                <c:formatCode>0.00</c:formatCode>
                <c:ptCount val="4"/>
                <c:pt idx="0">
                  <c:v>10.340644046647789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10.340644046647789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4-2140-D047-8FB7-95043C5E5461}"/>
            </c:ext>
          </c:extLst>
        </c:ser>
        <c:ser>
          <c:idx val="29"/>
          <c:order val="29"/>
          <c:tx>
            <c:strRef>
              <c:f>'Fig 4(a-d) - LFP-Li'!$A$33</c:f>
              <c:strCache>
                <c:ptCount val="1"/>
                <c:pt idx="0">
                  <c:v>USA_USA_Canada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6-2140-D047-8FB7-95043C5E5461}"/>
              </c:ext>
            </c:extLst>
          </c:dPt>
          <c:cat>
            <c:strRef>
              <c:f>'Fig 4(a-d) - LFP-Li'!$B$3:$E$3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LFP-Li'!$B$33:$E$33</c:f>
              <c:numCache>
                <c:formatCode>0.00</c:formatCode>
                <c:ptCount val="4"/>
                <c:pt idx="0">
                  <c:v>24.887651773287899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24.887651773287899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7-2140-D047-8FB7-95043C5E5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8679604"/>
        <c:axId val="2090301339"/>
      </c:barChart>
      <c:catAx>
        <c:axId val="1898679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LFP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90301339"/>
        <c:crosses val="autoZero"/>
        <c:auto val="1"/>
        <c:lblAlgn val="ctr"/>
        <c:lblOffset val="100"/>
        <c:noMultiLvlLbl val="1"/>
      </c:catAx>
      <c:valAx>
        <c:axId val="209030133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8679604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4(a-d) - LFP-Li'!$J$4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LFP-Li'!$K$4:$N$4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3520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50-9647-8ED2-ABB3CB35A78A}"/>
            </c:ext>
          </c:extLst>
        </c:ser>
        <c:ser>
          <c:idx val="1"/>
          <c:order val="1"/>
          <c:tx>
            <c:strRef>
              <c:f>'Fig 4(a-d) - LFP-Li'!$J$5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LFP-Li'!$K$5:$N$5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176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650-9647-8ED2-ABB3CB35A78A}"/>
            </c:ext>
          </c:extLst>
        </c:ser>
        <c:ser>
          <c:idx val="2"/>
          <c:order val="2"/>
          <c:tx>
            <c:strRef>
              <c:f>'Fig 4(a-d) - LFP-Li'!$J$6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LFP-Li'!$K$6:$N$6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650-9647-8ED2-ABB3CB35A78A}"/>
            </c:ext>
          </c:extLst>
        </c:ser>
        <c:ser>
          <c:idx val="3"/>
          <c:order val="3"/>
          <c:tx>
            <c:strRef>
              <c:f>'Fig 4(a-d) - LFP-Li'!$J$7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5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LFP-Li'!$K$7:$N$7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3520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8650-9647-8ED2-ABB3CB35A78A}"/>
            </c:ext>
          </c:extLst>
        </c:ser>
        <c:ser>
          <c:idx val="4"/>
          <c:order val="4"/>
          <c:tx>
            <c:strRef>
              <c:f>'Fig 4(a-d) - LFP-Li'!$J$8</c:f>
              <c:strCache>
                <c:ptCount val="1"/>
                <c:pt idx="0">
                  <c:v>Argentina_USA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LFP-Li'!$K$8:$N$8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8650-9647-8ED2-ABB3CB35A78A}"/>
            </c:ext>
          </c:extLst>
        </c:ser>
        <c:ser>
          <c:idx val="5"/>
          <c:order val="5"/>
          <c:tx>
            <c:strRef>
              <c:f>'Fig 4(a-d) - LFP-Li'!$J$9</c:f>
              <c:strCache>
                <c:ptCount val="1"/>
                <c:pt idx="0">
                  <c:v>USA_USA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LFP-Li'!$K$9:$N$9</c:f>
              <c:numCache>
                <c:formatCode>0.00</c:formatCode>
                <c:ptCount val="4"/>
                <c:pt idx="0">
                  <c:v>0</c:v>
                </c:pt>
                <c:pt idx="1">
                  <c:v>176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8650-9647-8ED2-ABB3CB35A78A}"/>
            </c:ext>
          </c:extLst>
        </c:ser>
        <c:ser>
          <c:idx val="6"/>
          <c:order val="6"/>
          <c:tx>
            <c:strRef>
              <c:f>'Fig 4(a-d) - LFP-Li'!$J$10</c:f>
              <c:strCache>
                <c:ptCount val="1"/>
                <c:pt idx="0">
                  <c:v>Chile_Canada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LFP-Li'!$K$10:$N$10</c:f>
              <c:numCache>
                <c:formatCode>0.00</c:formatCode>
                <c:ptCount val="4"/>
                <c:pt idx="0">
                  <c:v>0</c:v>
                </c:pt>
                <c:pt idx="1">
                  <c:v>168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8650-9647-8ED2-ABB3CB35A78A}"/>
            </c:ext>
          </c:extLst>
        </c:ser>
        <c:ser>
          <c:idx val="7"/>
          <c:order val="7"/>
          <c:tx>
            <c:strRef>
              <c:f>'Fig 4(a-d) - LFP-Li'!$J$11</c:f>
              <c:strCache>
                <c:ptCount val="1"/>
                <c:pt idx="0">
                  <c:v>USA_Canada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LFP-Li'!$K$11:$N$11</c:f>
              <c:numCache>
                <c:formatCode>0.00</c:formatCode>
                <c:ptCount val="4"/>
                <c:pt idx="0">
                  <c:v>0</c:v>
                </c:pt>
                <c:pt idx="1">
                  <c:v>49.8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8650-9647-8ED2-ABB3CB35A78A}"/>
            </c:ext>
          </c:extLst>
        </c:ser>
        <c:ser>
          <c:idx val="8"/>
          <c:order val="8"/>
          <c:tx>
            <c:strRef>
              <c:f>'Fig 4(a-d) - LFP-Li'!$J$12</c:f>
              <c:strCache>
                <c:ptCount val="1"/>
                <c:pt idx="0">
                  <c:v>Uncertain_Canada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LFP-Li'!$K$12:$N$12</c:f>
              <c:numCache>
                <c:formatCode>0.00</c:formatCode>
                <c:ptCount val="4"/>
                <c:pt idx="0">
                  <c:v>0</c:v>
                </c:pt>
                <c:pt idx="1">
                  <c:v>2.2000000000000028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8650-9647-8ED2-ABB3CB35A78A}"/>
            </c:ext>
          </c:extLst>
        </c:ser>
        <c:ser>
          <c:idx val="9"/>
          <c:order val="9"/>
          <c:tx>
            <c:strRef>
              <c:f>'Fig 4(a-d) - LFP-Li'!$J$13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8650-9647-8ED2-ABB3CB35A78A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1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LFP-Li'!$K$13:$N$13</c:f>
              <c:numCache>
                <c:formatCode>0.00</c:formatCode>
                <c:ptCount val="4"/>
                <c:pt idx="0" formatCode="General">
                  <c:v>3520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3520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8650-9647-8ED2-ABB3CB35A78A}"/>
            </c:ext>
          </c:extLst>
        </c:ser>
        <c:ser>
          <c:idx val="10"/>
          <c:order val="10"/>
          <c:tx>
            <c:strRef>
              <c:f>'Fig 4(a-d) - LFP-Li'!$J$14</c:f>
              <c:strCache>
                <c:ptCount val="1"/>
                <c:pt idx="0">
                  <c:v>Argentina_Argentina_USA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8650-9647-8ED2-ABB3CB35A78A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5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LFP-Li'!$K$14:$N$14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8650-9647-8ED2-ABB3CB35A78A}"/>
            </c:ext>
          </c:extLst>
        </c:ser>
        <c:ser>
          <c:idx val="11"/>
          <c:order val="11"/>
          <c:tx>
            <c:strRef>
              <c:f>'Fig 4(a-d) - LFP-Li'!$J$15</c:f>
              <c:strCache>
                <c:ptCount val="1"/>
                <c:pt idx="0">
                  <c:v>USA_USA_USA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8650-9647-8ED2-ABB3CB35A78A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LFP-Li'!$K$15:$N$15</c:f>
              <c:numCache>
                <c:formatCode>0.00</c:formatCode>
                <c:ptCount val="4"/>
                <c:pt idx="0">
                  <c:v>176</c:v>
                </c:pt>
                <c:pt idx="1">
                  <c:v>0</c:v>
                </c:pt>
                <c:pt idx="2" formatCode="General">
                  <c:v>0</c:v>
                </c:pt>
                <c:pt idx="3">
                  <c:v>176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8650-9647-8ED2-ABB3CB35A78A}"/>
            </c:ext>
          </c:extLst>
        </c:ser>
        <c:ser>
          <c:idx val="12"/>
          <c:order val="12"/>
          <c:tx>
            <c:strRef>
              <c:f>'Fig 4(a-d) - LFP-Li'!$J$16</c:f>
              <c:strCache>
                <c:ptCount val="1"/>
                <c:pt idx="0">
                  <c:v>Chile_Chile_Canada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LFP-Li'!$K$16:$N$16</c:f>
              <c:numCache>
                <c:formatCode>0.00</c:formatCode>
                <c:ptCount val="4"/>
                <c:pt idx="0">
                  <c:v>168</c:v>
                </c:pt>
                <c:pt idx="1">
                  <c:v>0</c:v>
                </c:pt>
                <c:pt idx="2" formatCode="General">
                  <c:v>0</c:v>
                </c:pt>
                <c:pt idx="3">
                  <c:v>168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8650-9647-8ED2-ABB3CB35A78A}"/>
            </c:ext>
          </c:extLst>
        </c:ser>
        <c:ser>
          <c:idx val="13"/>
          <c:order val="13"/>
          <c:tx>
            <c:strRef>
              <c:f>'Fig 4(a-d) - LFP-Li'!$J$17</c:f>
              <c:strCache>
                <c:ptCount val="1"/>
                <c:pt idx="0">
                  <c:v>Uncertain_Chile_Canada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LFP-Li'!$K$17:$N$17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8650-9647-8ED2-ABB3CB35A78A}"/>
            </c:ext>
          </c:extLst>
        </c:ser>
        <c:ser>
          <c:idx val="14"/>
          <c:order val="14"/>
          <c:tx>
            <c:strRef>
              <c:f>'Fig 4(a-d) - LFP-Li'!$J$18</c:f>
              <c:strCache>
                <c:ptCount val="1"/>
                <c:pt idx="0">
                  <c:v>USA_USA_Canada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8650-9647-8ED2-ABB3CB35A78A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LFP-Li'!$K$18:$N$18</c:f>
              <c:numCache>
                <c:formatCode>0.00</c:formatCode>
                <c:ptCount val="4"/>
                <c:pt idx="0">
                  <c:v>49.8</c:v>
                </c:pt>
                <c:pt idx="1">
                  <c:v>0</c:v>
                </c:pt>
                <c:pt idx="2" formatCode="General">
                  <c:v>0</c:v>
                </c:pt>
                <c:pt idx="3">
                  <c:v>49.8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8650-9647-8ED2-ABB3CB35A78A}"/>
            </c:ext>
          </c:extLst>
        </c:ser>
        <c:ser>
          <c:idx val="15"/>
          <c:order val="15"/>
          <c:tx>
            <c:strRef>
              <c:f>'Fig 4(a-d) - LFP-Li'!$J$19</c:f>
              <c:strCache>
                <c:ptCount val="1"/>
                <c:pt idx="0">
                  <c:v>Uncertain_Uncertain_Canada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5-8650-9647-8ED2-ABB3CB35A78A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8650-9647-8ED2-ABB3CB35A78A}"/>
              </c:ext>
            </c:extLst>
          </c:dPt>
          <c:cat>
            <c:strRef>
              <c:f>'Fig 4(a-d) - LFP-Li'!$K$3:$N$3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LFP-Li'!$K$19:$N$19</c:f>
              <c:numCache>
                <c:formatCode>0.00</c:formatCode>
                <c:ptCount val="4"/>
                <c:pt idx="0">
                  <c:v>2.2000000000000028</c:v>
                </c:pt>
                <c:pt idx="1">
                  <c:v>0</c:v>
                </c:pt>
                <c:pt idx="2" formatCode="General">
                  <c:v>0</c:v>
                </c:pt>
                <c:pt idx="3">
                  <c:v>2.2000000000000028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8650-9647-8ED2-ABB3CB35A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2773394"/>
        <c:axId val="1280946993"/>
      </c:barChart>
      <c:catAx>
        <c:axId val="1222773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LFP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80946993"/>
        <c:crosses val="autoZero"/>
        <c:auto val="1"/>
        <c:lblAlgn val="ctr"/>
        <c:lblOffset val="100"/>
        <c:noMultiLvlLbl val="1"/>
      </c:catAx>
      <c:valAx>
        <c:axId val="1280946993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22773394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4(a-d) - LFP-Li'!$S$4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LFP-Li'!$T$4:$W$4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3520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2DA-CA41-9DC9-D2DB6C8E68AB}"/>
            </c:ext>
          </c:extLst>
        </c:ser>
        <c:ser>
          <c:idx val="1"/>
          <c:order val="1"/>
          <c:tx>
            <c:strRef>
              <c:f>'Fig 4(a-d) - LFP-Li'!$S$5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LFP-Li'!$T$5:$W$5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176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32DA-CA41-9DC9-D2DB6C8E68AB}"/>
            </c:ext>
          </c:extLst>
        </c:ser>
        <c:ser>
          <c:idx val="2"/>
          <c:order val="2"/>
          <c:tx>
            <c:strRef>
              <c:f>'Fig 4(a-d) - LFP-Li'!$S$6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LFP-Li'!$T$6:$W$6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32DA-CA41-9DC9-D2DB6C8E68AB}"/>
            </c:ext>
          </c:extLst>
        </c:ser>
        <c:ser>
          <c:idx val="3"/>
          <c:order val="3"/>
          <c:tx>
            <c:strRef>
              <c:f>'Fig 4(a-d) - LFP-Li'!$S$7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LFP-Li'!$T$7:$W$7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3520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32DA-CA41-9DC9-D2DB6C8E68AB}"/>
            </c:ext>
          </c:extLst>
        </c:ser>
        <c:ser>
          <c:idx val="4"/>
          <c:order val="4"/>
          <c:tx>
            <c:strRef>
              <c:f>'Fig 4(a-d) - LFP-Li'!$S$8</c:f>
              <c:strCache>
                <c:ptCount val="1"/>
                <c:pt idx="0">
                  <c:v>China_USA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LFP-Li'!$T$8:$W$8</c:f>
              <c:numCache>
                <c:formatCode>0.00</c:formatCode>
                <c:ptCount val="4"/>
                <c:pt idx="0">
                  <c:v>0</c:v>
                </c:pt>
                <c:pt idx="1">
                  <c:v>37.486559999999997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32DA-CA41-9DC9-D2DB6C8E68AB}"/>
            </c:ext>
          </c:extLst>
        </c:ser>
        <c:ser>
          <c:idx val="5"/>
          <c:order val="5"/>
          <c:tx>
            <c:strRef>
              <c:f>'Fig 4(a-d) - LFP-Li'!$S$9</c:f>
              <c:strCache>
                <c:ptCount val="1"/>
                <c:pt idx="0">
                  <c:v>Chile_USA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LFP-Li'!$T$9:$W$9</c:f>
              <c:numCache>
                <c:formatCode>0.00</c:formatCode>
                <c:ptCount val="4"/>
                <c:pt idx="0">
                  <c:v>0</c:v>
                </c:pt>
                <c:pt idx="1">
                  <c:v>138.51344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32DA-CA41-9DC9-D2DB6C8E68AB}"/>
            </c:ext>
          </c:extLst>
        </c:ser>
        <c:ser>
          <c:idx val="6"/>
          <c:order val="6"/>
          <c:tx>
            <c:strRef>
              <c:f>'Fig 4(a-d) - LFP-Li'!$S$10</c:f>
              <c:strCache>
                <c:ptCount val="1"/>
                <c:pt idx="0">
                  <c:v>China_Canada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LFP-Li'!$T$10:$W$10</c:f>
              <c:numCache>
                <c:formatCode>0.00</c:formatCode>
                <c:ptCount val="4"/>
                <c:pt idx="0">
                  <c:v>0</c:v>
                </c:pt>
                <c:pt idx="1">
                  <c:v>91.882570000000001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32DA-CA41-9DC9-D2DB6C8E68AB}"/>
            </c:ext>
          </c:extLst>
        </c:ser>
        <c:ser>
          <c:idx val="7"/>
          <c:order val="7"/>
          <c:tx>
            <c:strRef>
              <c:f>'Fig 4(a-d) - LFP-Li'!$S$11</c:f>
              <c:strCache>
                <c:ptCount val="1"/>
                <c:pt idx="0">
                  <c:v>Chile_Canada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LFP-Li'!$T$11:$W$11</c:f>
              <c:numCache>
                <c:formatCode>0.00</c:formatCode>
                <c:ptCount val="4"/>
                <c:pt idx="0">
                  <c:v>0</c:v>
                </c:pt>
                <c:pt idx="1">
                  <c:v>128.11743000000001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32DA-CA41-9DC9-D2DB6C8E68AB}"/>
            </c:ext>
          </c:extLst>
        </c:ser>
        <c:ser>
          <c:idx val="8"/>
          <c:order val="8"/>
          <c:tx>
            <c:strRef>
              <c:f>'Fig 4(a-d) - LFP-Li'!$S$12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F-32DA-CA41-9DC9-D2DB6C8E68AB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32DA-CA41-9DC9-D2DB6C8E68AB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LFP-Li'!$T$12:$W$12</c:f>
              <c:numCache>
                <c:formatCode>0.00</c:formatCode>
                <c:ptCount val="4"/>
                <c:pt idx="0" formatCode="General">
                  <c:v>3520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3520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32DA-CA41-9DC9-D2DB6C8E68AB}"/>
            </c:ext>
          </c:extLst>
        </c:ser>
        <c:ser>
          <c:idx val="9"/>
          <c:order val="9"/>
          <c:tx>
            <c:strRef>
              <c:f>'Fig 4(a-d) - LFP-Li'!$S$13</c:f>
              <c:strCache>
                <c:ptCount val="1"/>
                <c:pt idx="0">
                  <c:v>China_China_USA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4-32DA-CA41-9DC9-D2DB6C8E68AB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6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LFP-Li'!$T$13:$W$13</c:f>
              <c:numCache>
                <c:formatCode>0.00</c:formatCode>
                <c:ptCount val="4"/>
                <c:pt idx="0">
                  <c:v>37.486559999999997</c:v>
                </c:pt>
                <c:pt idx="1">
                  <c:v>0</c:v>
                </c:pt>
                <c:pt idx="2" formatCode="General">
                  <c:v>0</c:v>
                </c:pt>
                <c:pt idx="3">
                  <c:v>37.486559999999997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7-32DA-CA41-9DC9-D2DB6C8E68AB}"/>
            </c:ext>
          </c:extLst>
        </c:ser>
        <c:ser>
          <c:idx val="10"/>
          <c:order val="10"/>
          <c:tx>
            <c:strRef>
              <c:f>'Fig 4(a-d) - LFP-Li'!$S$14</c:f>
              <c:strCache>
                <c:ptCount val="1"/>
                <c:pt idx="0">
                  <c:v>Chile_Chile_USA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32DA-CA41-9DC9-D2DB6C8E68AB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LFP-Li'!$T$14:$W$14</c:f>
              <c:numCache>
                <c:formatCode>0.00</c:formatCode>
                <c:ptCount val="4"/>
                <c:pt idx="0">
                  <c:v>138.51344</c:v>
                </c:pt>
                <c:pt idx="1">
                  <c:v>0</c:v>
                </c:pt>
                <c:pt idx="2" formatCode="General">
                  <c:v>0</c:v>
                </c:pt>
                <c:pt idx="3">
                  <c:v>138.51344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B-32DA-CA41-9DC9-D2DB6C8E68AB}"/>
            </c:ext>
          </c:extLst>
        </c:ser>
        <c:ser>
          <c:idx val="11"/>
          <c:order val="11"/>
          <c:tx>
            <c:strRef>
              <c:f>'Fig 4(a-d) - LFP-Li'!$S$15</c:f>
              <c:strCache>
                <c:ptCount val="1"/>
                <c:pt idx="0">
                  <c:v>China_China_Canada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32DA-CA41-9DC9-D2DB6C8E68AB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32DA-CA41-9DC9-D2DB6C8E68AB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LFP-Li'!$T$15:$W$15</c:f>
              <c:numCache>
                <c:formatCode>0.00</c:formatCode>
                <c:ptCount val="4"/>
                <c:pt idx="0">
                  <c:v>91.882570000000001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91.882570000000001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32DA-CA41-9DC9-D2DB6C8E68AB}"/>
            </c:ext>
          </c:extLst>
        </c:ser>
        <c:ser>
          <c:idx val="12"/>
          <c:order val="12"/>
          <c:tx>
            <c:strRef>
              <c:f>'Fig 4(a-d) - LFP-Li'!$S$16</c:f>
              <c:strCache>
                <c:ptCount val="1"/>
                <c:pt idx="0">
                  <c:v>Chile_Chile_Canada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32DA-CA41-9DC9-D2DB6C8E68AB}"/>
              </c:ext>
            </c:extLst>
          </c:dPt>
          <c:cat>
            <c:strRef>
              <c:f>'Fig 4(a-d) - LFP-Li'!$T$3:$W$3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LFP-Li'!$T$16:$W$16</c:f>
              <c:numCache>
                <c:formatCode>0.00</c:formatCode>
                <c:ptCount val="4"/>
                <c:pt idx="0">
                  <c:v>128.11743000000001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128.11743000000001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3-32DA-CA41-9DC9-D2DB6C8E6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94701393"/>
        <c:axId val="1274954129"/>
      </c:barChart>
      <c:catAx>
        <c:axId val="19947013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LFP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74954129"/>
        <c:crosses val="autoZero"/>
        <c:auto val="1"/>
        <c:lblAlgn val="ctr"/>
        <c:lblOffset val="100"/>
        <c:noMultiLvlLbl val="1"/>
      </c:catAx>
      <c:valAx>
        <c:axId val="1274954129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94701393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4(a-d) - LFP-Li'!$AB$4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LFP-Li'!$AC$4:$AF$4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3520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C47-274C-9D3D-5AA14B9B6D03}"/>
            </c:ext>
          </c:extLst>
        </c:ser>
        <c:ser>
          <c:idx val="1"/>
          <c:order val="1"/>
          <c:tx>
            <c:strRef>
              <c:f>'Fig 4(a-d) - LFP-Li'!$AB$5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LFP-Li'!$AC$5:$AF$5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176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C47-274C-9D3D-5AA14B9B6D03}"/>
            </c:ext>
          </c:extLst>
        </c:ser>
        <c:ser>
          <c:idx val="2"/>
          <c:order val="2"/>
          <c:tx>
            <c:strRef>
              <c:f>'Fig 4(a-d) - LFP-Li'!$AB$6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LFP-Li'!$AC$6:$AF$6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220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C47-274C-9D3D-5AA14B9B6D03}"/>
            </c:ext>
          </c:extLst>
        </c:ser>
        <c:ser>
          <c:idx val="3"/>
          <c:order val="3"/>
          <c:tx>
            <c:strRef>
              <c:f>'Fig 4(a-d) - LFP-Li'!$AB$7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LFP-Li'!$AC$7:$AF$7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3520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0C47-274C-9D3D-5AA14B9B6D03}"/>
            </c:ext>
          </c:extLst>
        </c:ser>
        <c:ser>
          <c:idx val="4"/>
          <c:order val="4"/>
          <c:tx>
            <c:strRef>
              <c:f>'Fig 4(a-d) - LFP-Li'!$AB$8</c:f>
              <c:strCache>
                <c:ptCount val="1"/>
                <c:pt idx="0">
                  <c:v>China_USA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LFP-Li'!$AC$8:$AF$8</c:f>
              <c:numCache>
                <c:formatCode>0.00</c:formatCode>
                <c:ptCount val="4"/>
                <c:pt idx="0">
                  <c:v>0</c:v>
                </c:pt>
                <c:pt idx="1">
                  <c:v>37.486559999999997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0C47-274C-9D3D-5AA14B9B6D03}"/>
            </c:ext>
          </c:extLst>
        </c:ser>
        <c:ser>
          <c:idx val="5"/>
          <c:order val="5"/>
          <c:tx>
            <c:strRef>
              <c:f>'Fig 4(a-d) - LFP-Li'!$AB$9</c:f>
              <c:strCache>
                <c:ptCount val="1"/>
                <c:pt idx="0">
                  <c:v>Uncertain_USA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LFP-Li'!$AC$9:$AF$9</c:f>
              <c:numCache>
                <c:formatCode>0.00</c:formatCode>
                <c:ptCount val="4"/>
                <c:pt idx="0">
                  <c:v>0</c:v>
                </c:pt>
                <c:pt idx="1">
                  <c:v>138.51344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0C47-274C-9D3D-5AA14B9B6D03}"/>
            </c:ext>
          </c:extLst>
        </c:ser>
        <c:ser>
          <c:idx val="6"/>
          <c:order val="6"/>
          <c:tx>
            <c:strRef>
              <c:f>'Fig 4(a-d) - LFP-Li'!$AB$10</c:f>
              <c:strCache>
                <c:ptCount val="1"/>
                <c:pt idx="0">
                  <c:v>China_Canada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LFP-Li'!$AC$10:$AF$10</c:f>
              <c:numCache>
                <c:formatCode>0.00</c:formatCode>
                <c:ptCount val="4"/>
                <c:pt idx="0">
                  <c:v>0</c:v>
                </c:pt>
                <c:pt idx="1">
                  <c:v>91.882570000000001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0C47-274C-9D3D-5AA14B9B6D03}"/>
            </c:ext>
          </c:extLst>
        </c:ser>
        <c:ser>
          <c:idx val="7"/>
          <c:order val="7"/>
          <c:tx>
            <c:strRef>
              <c:f>'Fig 4(a-d) - LFP-Li'!$AB$11</c:f>
              <c:strCache>
                <c:ptCount val="1"/>
                <c:pt idx="0">
                  <c:v>Uncertain_Canada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LFP-Li'!$AC$11:$AF$11</c:f>
              <c:numCache>
                <c:formatCode>0.00</c:formatCode>
                <c:ptCount val="4"/>
                <c:pt idx="0">
                  <c:v>0</c:v>
                </c:pt>
                <c:pt idx="1">
                  <c:v>128.11743000000001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0C47-274C-9D3D-5AA14B9B6D03}"/>
            </c:ext>
          </c:extLst>
        </c:ser>
        <c:ser>
          <c:idx val="8"/>
          <c:order val="8"/>
          <c:tx>
            <c:strRef>
              <c:f>'Fig 4(a-d) - LFP-Li'!$AB$12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F-0C47-274C-9D3D-5AA14B9B6D0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0C47-274C-9D3D-5AA14B9B6D0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LFP-Li'!$AC$12:$AF$12</c:f>
              <c:numCache>
                <c:formatCode>0.00</c:formatCode>
                <c:ptCount val="4"/>
                <c:pt idx="0" formatCode="General">
                  <c:v>3520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3520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0C47-274C-9D3D-5AA14B9B6D03}"/>
            </c:ext>
          </c:extLst>
        </c:ser>
        <c:ser>
          <c:idx val="9"/>
          <c:order val="9"/>
          <c:tx>
            <c:strRef>
              <c:f>'Fig 4(a-d) - LFP-Li'!$AB$13</c:f>
              <c:strCache>
                <c:ptCount val="1"/>
                <c:pt idx="0">
                  <c:v>China_China_USA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5-0C47-274C-9D3D-5AA14B9B6D0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LFP-Li'!$AC$13:$AF$13</c:f>
              <c:numCache>
                <c:formatCode>0.00</c:formatCode>
                <c:ptCount val="4"/>
                <c:pt idx="0">
                  <c:v>37.486559999999997</c:v>
                </c:pt>
                <c:pt idx="1">
                  <c:v>0</c:v>
                </c:pt>
                <c:pt idx="2" formatCode="General">
                  <c:v>0</c:v>
                </c:pt>
                <c:pt idx="3">
                  <c:v>37.486559999999997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0C47-274C-9D3D-5AA14B9B6D03}"/>
            </c:ext>
          </c:extLst>
        </c:ser>
        <c:ser>
          <c:idx val="10"/>
          <c:order val="10"/>
          <c:tx>
            <c:strRef>
              <c:f>'Fig 4(a-d) - LFP-Li'!$AB$14</c:f>
              <c:strCache>
                <c:ptCount val="1"/>
                <c:pt idx="0">
                  <c:v>Uncertain_Uncertain_USA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A-0C47-274C-9D3D-5AA14B9B6D0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0C47-274C-9D3D-5AA14B9B6D0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LFP-Li'!$AC$14:$AF$14</c:f>
              <c:numCache>
                <c:formatCode>0.00</c:formatCode>
                <c:ptCount val="4"/>
                <c:pt idx="0">
                  <c:v>138.51344</c:v>
                </c:pt>
                <c:pt idx="1">
                  <c:v>0</c:v>
                </c:pt>
                <c:pt idx="2" formatCode="General">
                  <c:v>0</c:v>
                </c:pt>
                <c:pt idx="3">
                  <c:v>138.51344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0C47-274C-9D3D-5AA14B9B6D03}"/>
            </c:ext>
          </c:extLst>
        </c:ser>
        <c:ser>
          <c:idx val="11"/>
          <c:order val="11"/>
          <c:tx>
            <c:strRef>
              <c:f>'Fig 4(a-d) - LFP-Li'!$AB$15</c:f>
              <c:strCache>
                <c:ptCount val="1"/>
                <c:pt idx="0">
                  <c:v>China_China_Canada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20-0C47-274C-9D3D-5AA14B9B6D0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0C47-274C-9D3D-5AA14B9B6D0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3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LFP-Li'!$AC$15:$AF$15</c:f>
              <c:numCache>
                <c:formatCode>0.00</c:formatCode>
                <c:ptCount val="4"/>
                <c:pt idx="0">
                  <c:v>91.882570000000001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91.882570000000001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4-0C47-274C-9D3D-5AA14B9B6D03}"/>
            </c:ext>
          </c:extLst>
        </c:ser>
        <c:ser>
          <c:idx val="12"/>
          <c:order val="12"/>
          <c:tx>
            <c:strRef>
              <c:f>'Fig 4(a-d) - LFP-Li'!$AB$16</c:f>
              <c:strCache>
                <c:ptCount val="1"/>
                <c:pt idx="0">
                  <c:v>Uncertain_Uncertain_Canada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26-0C47-274C-9D3D-5AA14B9B6D0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0C47-274C-9D3D-5AA14B9B6D03}"/>
              </c:ext>
            </c:extLst>
          </c:dPt>
          <c:cat>
            <c:strRef>
              <c:f>'Fig 4(a-d) - LFP-Li'!$AC$3:$AF$3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4(a-d) - LFP-Li'!$AC$16:$AF$16</c:f>
              <c:numCache>
                <c:formatCode>0.00</c:formatCode>
                <c:ptCount val="4"/>
                <c:pt idx="0">
                  <c:v>128.11743000000001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128.11743000000001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9-0C47-274C-9D3D-5AA14B9B6D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2461387"/>
        <c:axId val="1729133864"/>
      </c:barChart>
      <c:catAx>
        <c:axId val="992461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LFP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29133864"/>
        <c:crosses val="autoZero"/>
        <c:auto val="1"/>
        <c:lblAlgn val="ctr"/>
        <c:lblOffset val="100"/>
        <c:noMultiLvlLbl val="1"/>
      </c:catAx>
      <c:valAx>
        <c:axId val="172913386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2461387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4(e-g) - NMC-Li'!$A$4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NMC-Li'!$B$4:$E$4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6231.6872099999991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52BA-FE41-A00E-A9D0612E87AD}"/>
            </c:ext>
          </c:extLst>
        </c:ser>
        <c:ser>
          <c:idx val="1"/>
          <c:order val="1"/>
          <c:tx>
            <c:strRef>
              <c:f>'Fig 4(e-g) - NMC-Li'!$A$5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NMC-Li'!$B$5:$E$5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1751.4095534056919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52BA-FE41-A00E-A9D0612E87AD}"/>
            </c:ext>
          </c:extLst>
        </c:ser>
        <c:ser>
          <c:idx val="2"/>
          <c:order val="2"/>
          <c:tx>
            <c:strRef>
              <c:f>'Fig 4(e-g) - NMC-Li'!$A$6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NMC-Li'!$B$6:$E$6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2977.7658660000006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52BA-FE41-A00E-A9D0612E87AD}"/>
            </c:ext>
          </c:extLst>
        </c:ser>
        <c:ser>
          <c:idx val="3"/>
          <c:order val="3"/>
          <c:tx>
            <c:strRef>
              <c:f>'Fig 4(e-g) - NMC-Li'!$A$7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NMC-Li'!$B$7:$E$7</c:f>
              <c:numCache>
                <c:formatCode>0.00</c:formatCode>
                <c:ptCount val="4"/>
                <c:pt idx="0">
                  <c:v>0</c:v>
                </c:pt>
                <c:pt idx="1">
                  <c:v>4803.3985389251702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52BA-FE41-A00E-A9D0612E87AD}"/>
            </c:ext>
          </c:extLst>
        </c:ser>
        <c:ser>
          <c:idx val="4"/>
          <c:order val="4"/>
          <c:tx>
            <c:strRef>
              <c:f>'Fig 4(e-g) - NMC-Li'!$A$8</c:f>
              <c:strCache>
                <c:ptCount val="1"/>
                <c:pt idx="0">
                  <c:v>Chile_China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NMC-Li'!$B$8:$E$8</c:f>
              <c:numCache>
                <c:formatCode>0.00</c:formatCode>
                <c:ptCount val="4"/>
                <c:pt idx="0">
                  <c:v>0</c:v>
                </c:pt>
                <c:pt idx="1">
                  <c:v>1063.2645127565972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52BA-FE41-A00E-A9D0612E87AD}"/>
            </c:ext>
          </c:extLst>
        </c:ser>
        <c:ser>
          <c:idx val="5"/>
          <c:order val="5"/>
          <c:tx>
            <c:strRef>
              <c:f>'Fig 4(e-g) - NMC-Li'!$A$9</c:f>
              <c:strCache>
                <c:ptCount val="1"/>
                <c:pt idx="0">
                  <c:v>Argentina_China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NMC-Li'!$B$9:$E$9</c:f>
              <c:numCache>
                <c:formatCode>0.00</c:formatCode>
                <c:ptCount val="4"/>
                <c:pt idx="0">
                  <c:v>0</c:v>
                </c:pt>
                <c:pt idx="1">
                  <c:v>365.02415831823174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52BA-FE41-A00E-A9D0612E87AD}"/>
            </c:ext>
          </c:extLst>
        </c:ser>
        <c:ser>
          <c:idx val="6"/>
          <c:order val="6"/>
          <c:tx>
            <c:strRef>
              <c:f>'Fig 4(e-g) - NMC-Li'!$A$10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NMC-Li'!$B$10:$E$10</c:f>
              <c:numCache>
                <c:formatCode>0.00</c:formatCode>
                <c:ptCount val="4"/>
                <c:pt idx="0">
                  <c:v>0</c:v>
                </c:pt>
                <c:pt idx="1">
                  <c:v>974.02391961698584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52BA-FE41-A00E-A9D0612E87AD}"/>
            </c:ext>
          </c:extLst>
        </c:ser>
        <c:ser>
          <c:idx val="7"/>
          <c:order val="7"/>
          <c:tx>
            <c:strRef>
              <c:f>'Fig 4(e-g) - NMC-Li'!$A$11</c:f>
              <c:strCache>
                <c:ptCount val="1"/>
                <c:pt idx="0">
                  <c:v>Chile_Japan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NMC-Li'!$B$11:$E$11</c:f>
              <c:numCache>
                <c:formatCode>0.00</c:formatCode>
                <c:ptCount val="4"/>
                <c:pt idx="0">
                  <c:v>0</c:v>
                </c:pt>
                <c:pt idx="1">
                  <c:v>525.76148106587345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52BA-FE41-A00E-A9D0612E87AD}"/>
            </c:ext>
          </c:extLst>
        </c:ser>
        <c:ser>
          <c:idx val="8"/>
          <c:order val="8"/>
          <c:tx>
            <c:strRef>
              <c:f>'Fig 4(e-g) - NMC-Li'!$A$12</c:f>
              <c:strCache>
                <c:ptCount val="1"/>
                <c:pt idx="0">
                  <c:v>Argentina_Japan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NMC-Li'!$B$12:$E$12</c:f>
              <c:numCache>
                <c:formatCode>0.00</c:formatCode>
                <c:ptCount val="4"/>
                <c:pt idx="0">
                  <c:v>0</c:v>
                </c:pt>
                <c:pt idx="1">
                  <c:v>74.927237718739732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52BA-FE41-A00E-A9D0612E87AD}"/>
            </c:ext>
          </c:extLst>
        </c:ser>
        <c:ser>
          <c:idx val="9"/>
          <c:order val="9"/>
          <c:tx>
            <c:strRef>
              <c:f>'Fig 4(e-g) - NMC-Li'!$A$13</c:f>
              <c:strCache>
                <c:ptCount val="1"/>
                <c:pt idx="0">
                  <c:v>USA_Japan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NMC-Li'!$B$13:$E$13</c:f>
              <c:numCache>
                <c:formatCode>0.00</c:formatCode>
                <c:ptCount val="4"/>
                <c:pt idx="0">
                  <c:v>0</c:v>
                </c:pt>
                <c:pt idx="1">
                  <c:v>176.69691500409292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52BA-FE41-A00E-A9D0612E87AD}"/>
            </c:ext>
          </c:extLst>
        </c:ser>
        <c:ser>
          <c:idx val="10"/>
          <c:order val="10"/>
          <c:tx>
            <c:strRef>
              <c:f>'Fig 4(e-g) - NMC-Li'!$A$14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NMC-Li'!$B$14:$E$14</c:f>
              <c:numCache>
                <c:formatCode>0.00</c:formatCode>
                <c:ptCount val="4"/>
                <c:pt idx="0">
                  <c:v>0</c:v>
                </c:pt>
                <c:pt idx="1">
                  <c:v>1390.9283752100444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52BA-FE41-A00E-A9D0612E87AD}"/>
            </c:ext>
          </c:extLst>
        </c:ser>
        <c:ser>
          <c:idx val="11"/>
          <c:order val="11"/>
          <c:tx>
            <c:strRef>
              <c:f>'Fig 4(e-g) - NMC-Li'!$A$15</c:f>
              <c:strCache>
                <c:ptCount val="1"/>
                <c:pt idx="0">
                  <c:v>Chile_SK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NMC-Li'!$B$15:$E$15</c:f>
              <c:numCache>
                <c:formatCode>0.00</c:formatCode>
                <c:ptCount val="4"/>
                <c:pt idx="0">
                  <c:v>0</c:v>
                </c:pt>
                <c:pt idx="1">
                  <c:v>1549.9363218891158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52BA-FE41-A00E-A9D0612E87AD}"/>
            </c:ext>
          </c:extLst>
        </c:ser>
        <c:ser>
          <c:idx val="12"/>
          <c:order val="12"/>
          <c:tx>
            <c:strRef>
              <c:f>'Fig 4(e-g) - NMC-Li'!$A$16</c:f>
              <c:strCache>
                <c:ptCount val="1"/>
                <c:pt idx="0">
                  <c:v>Argentina_SK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NMC-Li'!$B$16:$E$16</c:f>
              <c:numCache>
                <c:formatCode>0.00</c:formatCode>
                <c:ptCount val="4"/>
                <c:pt idx="0">
                  <c:v>0</c:v>
                </c:pt>
                <c:pt idx="1">
                  <c:v>25.99121629225581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52BA-FE41-A00E-A9D0612E87AD}"/>
            </c:ext>
          </c:extLst>
        </c:ser>
        <c:ser>
          <c:idx val="13"/>
          <c:order val="13"/>
          <c:tx>
            <c:strRef>
              <c:f>'Fig 4(e-g) - NMC-Li'!$A$17</c:f>
              <c:strCache>
                <c:ptCount val="1"/>
                <c:pt idx="0">
                  <c:v>USA_SK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NMC-Li'!$B$17:$E$17</c:f>
              <c:numCache>
                <c:formatCode>0.00</c:formatCode>
                <c:ptCount val="4"/>
                <c:pt idx="0">
                  <c:v>0</c:v>
                </c:pt>
                <c:pt idx="1">
                  <c:v>10.909952608584277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52BA-FE41-A00E-A9D0612E87AD}"/>
            </c:ext>
          </c:extLst>
        </c:ser>
        <c:ser>
          <c:idx val="14"/>
          <c:order val="14"/>
          <c:tx>
            <c:strRef>
              <c:f>'Fig 4(e-g) - NMC-Li'!$A$18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52BA-FE41-A00E-A9D0612E87AD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NMC-Li'!$B$18:$E$18</c:f>
              <c:numCache>
                <c:formatCode>0.00</c:formatCode>
                <c:ptCount val="4"/>
                <c:pt idx="0">
                  <c:v>1042.172929326342</c:v>
                </c:pt>
                <c:pt idx="1">
                  <c:v>0</c:v>
                </c:pt>
                <c:pt idx="2" formatCode="General">
                  <c:v>0</c:v>
                </c:pt>
                <c:pt idx="3">
                  <c:v>1042.172929326342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52BA-FE41-A00E-A9D0612E87AD}"/>
            </c:ext>
          </c:extLst>
        </c:ser>
        <c:ser>
          <c:idx val="15"/>
          <c:order val="15"/>
          <c:tx>
            <c:strRef>
              <c:f>'Fig 4(e-g) - NMC-Li'!$A$19</c:f>
              <c:strCache>
                <c:ptCount val="1"/>
                <c:pt idx="0">
                  <c:v>Australia_China_China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52BA-FE41-A00E-A9D0612E87AD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NMC-Li'!$B$19:$E$19</c:f>
              <c:numCache>
                <c:formatCode>0.00</c:formatCode>
                <c:ptCount val="4"/>
                <c:pt idx="0">
                  <c:v>3761.2256095988282</c:v>
                </c:pt>
                <c:pt idx="1">
                  <c:v>0</c:v>
                </c:pt>
                <c:pt idx="2" formatCode="General">
                  <c:v>0</c:v>
                </c:pt>
                <c:pt idx="3">
                  <c:v>3761.2256095988282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52BA-FE41-A00E-A9D0612E87AD}"/>
            </c:ext>
          </c:extLst>
        </c:ser>
        <c:ser>
          <c:idx val="16"/>
          <c:order val="16"/>
          <c:tx>
            <c:strRef>
              <c:f>'Fig 4(e-g) - NMC-Li'!$A$20</c:f>
              <c:strCache>
                <c:ptCount val="1"/>
                <c:pt idx="0">
                  <c:v>Chile_Chile_China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52BA-FE41-A00E-A9D0612E87AD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NMC-Li'!$B$20:$E$20</c:f>
              <c:numCache>
                <c:formatCode>0.00</c:formatCode>
                <c:ptCount val="4"/>
                <c:pt idx="0">
                  <c:v>1063.2645127565972</c:v>
                </c:pt>
                <c:pt idx="1">
                  <c:v>0</c:v>
                </c:pt>
                <c:pt idx="2" formatCode="General">
                  <c:v>0</c:v>
                </c:pt>
                <c:pt idx="3">
                  <c:v>1063.2645127565972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52BA-FE41-A00E-A9D0612E87AD}"/>
            </c:ext>
          </c:extLst>
        </c:ser>
        <c:ser>
          <c:idx val="17"/>
          <c:order val="17"/>
          <c:tx>
            <c:strRef>
              <c:f>'Fig 4(e-g) - NMC-Li'!$A$21</c:f>
              <c:strCache>
                <c:ptCount val="1"/>
                <c:pt idx="0">
                  <c:v>Argentina_Argentina_China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52BA-FE41-A00E-A9D0612E87AD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NMC-Li'!$B$21:$E$21</c:f>
              <c:numCache>
                <c:formatCode>0.00</c:formatCode>
                <c:ptCount val="4"/>
                <c:pt idx="0">
                  <c:v>365.02415831823174</c:v>
                </c:pt>
                <c:pt idx="1">
                  <c:v>0</c:v>
                </c:pt>
                <c:pt idx="2" formatCode="General">
                  <c:v>0</c:v>
                </c:pt>
                <c:pt idx="3">
                  <c:v>365.02415831823174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5-52BA-FE41-A00E-A9D0612E87AD}"/>
            </c:ext>
          </c:extLst>
        </c:ser>
        <c:ser>
          <c:idx val="18"/>
          <c:order val="18"/>
          <c:tx>
            <c:strRef>
              <c:f>'Fig 4(e-g) - NMC-Li'!$A$22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NMC-Li'!$B$22:$E$22</c:f>
              <c:numCache>
                <c:formatCode>0.00</c:formatCode>
                <c:ptCount val="4"/>
                <c:pt idx="0">
                  <c:v>211.32982269014539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211.32982269014539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52BA-FE41-A00E-A9D0612E87AD}"/>
            </c:ext>
          </c:extLst>
        </c:ser>
        <c:ser>
          <c:idx val="19"/>
          <c:order val="19"/>
          <c:tx>
            <c:strRef>
              <c:f>'Fig 4(e-g) - NMC-Li'!$A$23</c:f>
              <c:strCache>
                <c:ptCount val="1"/>
                <c:pt idx="0">
                  <c:v>Australia_China_Japan</c:v>
                </c:pt>
              </c:strCache>
            </c:strRef>
          </c:tx>
          <c:spPr>
            <a:solidFill>
              <a:srgbClr val="F4A8D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NMC-Li'!$B$23:$E$23</c:f>
              <c:numCache>
                <c:formatCode>0.00</c:formatCode>
                <c:ptCount val="4"/>
                <c:pt idx="0">
                  <c:v>762.69409692684042</c:v>
                </c:pt>
                <c:pt idx="1">
                  <c:v>0</c:v>
                </c:pt>
                <c:pt idx="2" formatCode="General">
                  <c:v>0</c:v>
                </c:pt>
                <c:pt idx="3">
                  <c:v>762.69409692684042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B-52BA-FE41-A00E-A9D0612E87AD}"/>
            </c:ext>
          </c:extLst>
        </c:ser>
        <c:ser>
          <c:idx val="20"/>
          <c:order val="20"/>
          <c:tx>
            <c:strRef>
              <c:f>'Fig 4(e-g) - NMC-Li'!$A$24</c:f>
              <c:strCache>
                <c:ptCount val="1"/>
                <c:pt idx="0">
                  <c:v>Chile_Chile_Japan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C-52BA-FE41-A00E-A9D0612E87AD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NMC-Li'!$B$24:$E$24</c:f>
              <c:numCache>
                <c:formatCode>0.00</c:formatCode>
                <c:ptCount val="4"/>
                <c:pt idx="0">
                  <c:v>525.76148106587345</c:v>
                </c:pt>
                <c:pt idx="1">
                  <c:v>0</c:v>
                </c:pt>
                <c:pt idx="2" formatCode="General">
                  <c:v>0</c:v>
                </c:pt>
                <c:pt idx="3">
                  <c:v>525.76148106587345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F-52BA-FE41-A00E-A9D0612E87AD}"/>
            </c:ext>
          </c:extLst>
        </c:ser>
        <c:ser>
          <c:idx val="21"/>
          <c:order val="21"/>
          <c:tx>
            <c:strRef>
              <c:f>'Fig 4(e-g) - NMC-Li'!$A$25</c:f>
              <c:strCache>
                <c:ptCount val="1"/>
                <c:pt idx="0">
                  <c:v>Argentina_Argentina_Japan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NMC-Li'!$B$25:$E$25</c:f>
              <c:numCache>
                <c:formatCode>0.00</c:formatCode>
                <c:ptCount val="4"/>
                <c:pt idx="0">
                  <c:v>74.927237718739732</c:v>
                </c:pt>
                <c:pt idx="1">
                  <c:v>0</c:v>
                </c:pt>
                <c:pt idx="2" formatCode="General">
                  <c:v>0</c:v>
                </c:pt>
                <c:pt idx="3">
                  <c:v>74.927237718739732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2-52BA-FE41-A00E-A9D0612E87AD}"/>
            </c:ext>
          </c:extLst>
        </c:ser>
        <c:ser>
          <c:idx val="22"/>
          <c:order val="22"/>
          <c:tx>
            <c:strRef>
              <c:f>'Fig 4(e-g) - NMC-Li'!$A$26</c:f>
              <c:strCache>
                <c:ptCount val="1"/>
                <c:pt idx="0">
                  <c:v>Australia_USA_Japan</c:v>
                </c:pt>
              </c:strCache>
            </c:strRef>
          </c:tx>
          <c:spPr>
            <a:solidFill>
              <a:srgbClr val="F4A8D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4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NMC-Li'!$B$26:$E$26</c:f>
              <c:numCache>
                <c:formatCode>0.00</c:formatCode>
                <c:ptCount val="4"/>
                <c:pt idx="0">
                  <c:v>51.8662586330422</c:v>
                </c:pt>
                <c:pt idx="1">
                  <c:v>0</c:v>
                </c:pt>
                <c:pt idx="2" formatCode="General">
                  <c:v>0</c:v>
                </c:pt>
                <c:pt idx="3">
                  <c:v>51.8662586330422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5-52BA-FE41-A00E-A9D0612E87AD}"/>
            </c:ext>
          </c:extLst>
        </c:ser>
        <c:ser>
          <c:idx val="23"/>
          <c:order val="23"/>
          <c:tx>
            <c:strRef>
              <c:f>'Fig 4(e-g) - NMC-Li'!$A$27</c:f>
              <c:strCache>
                <c:ptCount val="1"/>
                <c:pt idx="0">
                  <c:v>USA_USA_Japan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52BA-FE41-A00E-A9D0612E87AD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8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NMC-Li'!$B$27:$E$27</c:f>
              <c:numCache>
                <c:formatCode>0.00</c:formatCode>
                <c:ptCount val="4"/>
                <c:pt idx="0">
                  <c:v>124.83065637105072</c:v>
                </c:pt>
                <c:pt idx="1">
                  <c:v>0</c:v>
                </c:pt>
                <c:pt idx="2" formatCode="General">
                  <c:v>0</c:v>
                </c:pt>
                <c:pt idx="3">
                  <c:v>124.83065637105072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9-52BA-FE41-A00E-A9D0612E87AD}"/>
            </c:ext>
          </c:extLst>
        </c:ser>
        <c:ser>
          <c:idx val="24"/>
          <c:order val="24"/>
          <c:tx>
            <c:strRef>
              <c:f>'Fig 4(e-g) - NMC-Li'!$A$28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52BA-FE41-A00E-A9D0612E87AD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NMC-Li'!$B$28:$E$28</c:f>
              <c:numCache>
                <c:formatCode>0.00</c:formatCode>
                <c:ptCount val="4"/>
                <c:pt idx="0">
                  <c:v>301.78380734573557</c:v>
                </c:pt>
                <c:pt idx="1">
                  <c:v>0</c:v>
                </c:pt>
                <c:pt idx="2" formatCode="General">
                  <c:v>0</c:v>
                </c:pt>
                <c:pt idx="3">
                  <c:v>301.78380734573557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D-52BA-FE41-A00E-A9D0612E87AD}"/>
            </c:ext>
          </c:extLst>
        </c:ser>
        <c:ser>
          <c:idx val="25"/>
          <c:order val="25"/>
          <c:tx>
            <c:strRef>
              <c:f>'Fig 4(e-g) - NMC-Li'!$A$29</c:f>
              <c:strCache>
                <c:ptCount val="1"/>
                <c:pt idx="0">
                  <c:v>Australia_China_SK</c:v>
                </c:pt>
              </c:strCache>
            </c:strRef>
          </c:tx>
          <c:spPr>
            <a:solidFill>
              <a:srgbClr val="F4A8D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F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NMC-Li'!$B$29:$E$29</c:f>
              <c:numCache>
                <c:formatCode>0.00</c:formatCode>
                <c:ptCount val="4"/>
                <c:pt idx="0">
                  <c:v>1089.1445678643088</c:v>
                </c:pt>
                <c:pt idx="1">
                  <c:v>0</c:v>
                </c:pt>
                <c:pt idx="2" formatCode="General">
                  <c:v>0</c:v>
                </c:pt>
                <c:pt idx="3">
                  <c:v>1089.1445678643088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0-52BA-FE41-A00E-A9D0612E87AD}"/>
            </c:ext>
          </c:extLst>
        </c:ser>
        <c:ser>
          <c:idx val="26"/>
          <c:order val="26"/>
          <c:tx>
            <c:strRef>
              <c:f>'Fig 4(e-g) - NMC-Li'!$A$30</c:f>
              <c:strCache>
                <c:ptCount val="1"/>
                <c:pt idx="0">
                  <c:v>Chile_Chile_SK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1-52BA-FE41-A00E-A9D0612E87AD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3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NMC-Li'!$B$30:$E$30</c:f>
              <c:numCache>
                <c:formatCode>0.00</c:formatCode>
                <c:ptCount val="4"/>
                <c:pt idx="0">
                  <c:v>1549.9363218891158</c:v>
                </c:pt>
                <c:pt idx="1">
                  <c:v>0</c:v>
                </c:pt>
                <c:pt idx="2" formatCode="General">
                  <c:v>0</c:v>
                </c:pt>
                <c:pt idx="3">
                  <c:v>1549.9363218891158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4-52BA-FE41-A00E-A9D0612E87AD}"/>
            </c:ext>
          </c:extLst>
        </c:ser>
        <c:ser>
          <c:idx val="27"/>
          <c:order val="27"/>
          <c:tx>
            <c:strRef>
              <c:f>'Fig 4(e-g) - NMC-Li'!$A$31</c:f>
              <c:strCache>
                <c:ptCount val="1"/>
                <c:pt idx="0">
                  <c:v>Argentina_Argentina_SK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6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NMC-Li'!$B$31:$E$31</c:f>
              <c:numCache>
                <c:formatCode>0.00</c:formatCode>
                <c:ptCount val="4"/>
                <c:pt idx="0">
                  <c:v>25.99121629225581</c:v>
                </c:pt>
                <c:pt idx="1">
                  <c:v>0</c:v>
                </c:pt>
                <c:pt idx="2" formatCode="General">
                  <c:v>0</c:v>
                </c:pt>
                <c:pt idx="3">
                  <c:v>25.99121629225581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7-52BA-FE41-A00E-A9D0612E87AD}"/>
            </c:ext>
          </c:extLst>
        </c:ser>
        <c:ser>
          <c:idx val="28"/>
          <c:order val="28"/>
          <c:tx>
            <c:strRef>
              <c:f>'Fig 4(e-g) - NMC-Li'!$A$32</c:f>
              <c:strCache>
                <c:ptCount val="1"/>
                <c:pt idx="0">
                  <c:v>Australia_USA_SK</c:v>
                </c:pt>
              </c:strCache>
            </c:strRef>
          </c:tx>
          <c:spPr>
            <a:solidFill>
              <a:srgbClr val="F4A8D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NMC-Li'!$B$32:$E$32</c:f>
              <c:numCache>
                <c:formatCode>0.00</c:formatCode>
                <c:ptCount val="4"/>
                <c:pt idx="0">
                  <c:v>3.2024239000322008</c:v>
                </c:pt>
                <c:pt idx="1">
                  <c:v>0</c:v>
                </c:pt>
                <c:pt idx="2" formatCode="General">
                  <c:v>0</c:v>
                </c:pt>
                <c:pt idx="3">
                  <c:v>3.2024239000322008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8-52BA-FE41-A00E-A9D0612E87AD}"/>
            </c:ext>
          </c:extLst>
        </c:ser>
        <c:ser>
          <c:idx val="29"/>
          <c:order val="29"/>
          <c:tx>
            <c:strRef>
              <c:f>'Fig 4(e-g) - NMC-Li'!$A$33</c:f>
              <c:strCache>
                <c:ptCount val="1"/>
                <c:pt idx="0">
                  <c:v>USA_USA_SK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A-52BA-FE41-A00E-A9D0612E87AD}"/>
              </c:ext>
            </c:extLst>
          </c:dPt>
          <c:cat>
            <c:strRef>
              <c:f>'Fig 4(e-g) - NMC-Li'!$B$3:$E$3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NMC-Li'!$B$33:$E$33</c:f>
              <c:numCache>
                <c:formatCode>0.00</c:formatCode>
                <c:ptCount val="4"/>
                <c:pt idx="0">
                  <c:v>7.7075287085520765</c:v>
                </c:pt>
                <c:pt idx="1">
                  <c:v>0</c:v>
                </c:pt>
                <c:pt idx="2" formatCode="General">
                  <c:v>0</c:v>
                </c:pt>
                <c:pt idx="3">
                  <c:v>7.7075287085520765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B-52BA-FE41-A00E-A9D0612E8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06399604"/>
        <c:axId val="1025838707"/>
      </c:barChart>
      <c:catAx>
        <c:axId val="13063996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NCM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25838707"/>
        <c:crosses val="autoZero"/>
        <c:auto val="1"/>
        <c:lblAlgn val="ctr"/>
        <c:lblOffset val="100"/>
        <c:noMultiLvlLbl val="1"/>
      </c:catAx>
      <c:valAx>
        <c:axId val="1025838707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06399604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4(e-g) - NMC-Li'!$J$4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NMC-Li'!$K$4:$N$4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6231.6872100000001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15D-E64A-8A25-02AE35F83607}"/>
            </c:ext>
          </c:extLst>
        </c:ser>
        <c:ser>
          <c:idx val="1"/>
          <c:order val="1"/>
          <c:tx>
            <c:strRef>
              <c:f>'Fig 4(e-g) - NMC-Li'!$J$5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NMC-Li'!$K$5:$N$5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1786.65951933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15D-E64A-8A25-02AE35F83607}"/>
            </c:ext>
          </c:extLst>
        </c:ser>
        <c:ser>
          <c:idx val="2"/>
          <c:order val="2"/>
          <c:tx>
            <c:strRef>
              <c:f>'Fig 4(e-g) - NMC-Li'!$J$6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NMC-Li'!$K$6:$N$6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2977.7658655499999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15D-E64A-8A25-02AE35F83607}"/>
            </c:ext>
          </c:extLst>
        </c:ser>
        <c:ser>
          <c:idx val="3"/>
          <c:order val="3"/>
          <c:tx>
            <c:strRef>
              <c:f>'Fig 4(e-g) - NMC-Li'!$J$7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NMC-Li'!$K$7:$N$7</c:f>
              <c:numCache>
                <c:formatCode>0.00</c:formatCode>
                <c:ptCount val="4"/>
                <c:pt idx="0">
                  <c:v>0</c:v>
                </c:pt>
                <c:pt idx="1">
                  <c:v>6231.6872100000001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815D-E64A-8A25-02AE35F83607}"/>
            </c:ext>
          </c:extLst>
        </c:ser>
        <c:ser>
          <c:idx val="4"/>
          <c:order val="4"/>
          <c:tx>
            <c:strRef>
              <c:f>'Fig 4(e-g) - NMC-Li'!$J$8</c:f>
              <c:strCache>
                <c:ptCount val="1"/>
                <c:pt idx="0">
                  <c:v>Argentina_Japan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NMC-Li'!$K$8:$N$8</c:f>
              <c:numCache>
                <c:formatCode>0.00</c:formatCode>
                <c:ptCount val="4"/>
                <c:pt idx="0">
                  <c:v>0</c:v>
                </c:pt>
                <c:pt idx="1">
                  <c:v>366.15863000000002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815D-E64A-8A25-02AE35F83607}"/>
            </c:ext>
          </c:extLst>
        </c:ser>
        <c:ser>
          <c:idx val="5"/>
          <c:order val="5"/>
          <c:tx>
            <c:strRef>
              <c:f>'Fig 4(e-g) - NMC-Li'!$J$9</c:f>
              <c:strCache>
                <c:ptCount val="1"/>
                <c:pt idx="0">
                  <c:v>Chile_Japan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NMC-Li'!$K$9:$N$9</c:f>
              <c:numCache>
                <c:formatCode>0.00</c:formatCode>
                <c:ptCount val="4"/>
                <c:pt idx="0">
                  <c:v>0</c:v>
                </c:pt>
                <c:pt idx="1">
                  <c:v>1420.5008893300001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815D-E64A-8A25-02AE35F83607}"/>
            </c:ext>
          </c:extLst>
        </c:ser>
        <c:ser>
          <c:idx val="6"/>
          <c:order val="6"/>
          <c:tx>
            <c:strRef>
              <c:f>'Fig 4(e-g) - NMC-Li'!$J$10</c:f>
              <c:strCache>
                <c:ptCount val="1"/>
                <c:pt idx="0">
                  <c:v>Uncertain_Japan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NMC-Li'!$K$10:$N$10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815D-E64A-8A25-02AE35F83607}"/>
            </c:ext>
          </c:extLst>
        </c:ser>
        <c:ser>
          <c:idx val="7"/>
          <c:order val="7"/>
          <c:tx>
            <c:strRef>
              <c:f>'Fig 4(e-g) - NMC-Li'!$J$11</c:f>
              <c:strCache>
                <c:ptCount val="1"/>
                <c:pt idx="0">
                  <c:v>Chile_SK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NMC-Li'!$K$11:$N$11</c:f>
              <c:numCache>
                <c:formatCode>0.00</c:formatCode>
                <c:ptCount val="4"/>
                <c:pt idx="0">
                  <c:v>0</c:v>
                </c:pt>
                <c:pt idx="1">
                  <c:v>2977.7658655499999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815D-E64A-8A25-02AE35F83607}"/>
            </c:ext>
          </c:extLst>
        </c:ser>
        <c:ser>
          <c:idx val="8"/>
          <c:order val="8"/>
          <c:tx>
            <c:strRef>
              <c:f>'Fig 4(e-g) - NMC-Li'!$J$12</c:f>
              <c:strCache>
                <c:ptCount val="1"/>
                <c:pt idx="0">
                  <c:v>Argentina_SK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NMC-Li'!$K$12:$N$12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815D-E64A-8A25-02AE35F83607}"/>
            </c:ext>
          </c:extLst>
        </c:ser>
        <c:ser>
          <c:idx val="9"/>
          <c:order val="9"/>
          <c:tx>
            <c:strRef>
              <c:f>'Fig 4(e-g) - NMC-Li'!$J$13</c:f>
              <c:strCache>
                <c:ptCount val="1"/>
                <c:pt idx="0">
                  <c:v>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815D-E64A-8A25-02AE35F83607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NMC-Li'!$K$13:$N$13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815D-E64A-8A25-02AE35F83607}"/>
            </c:ext>
          </c:extLst>
        </c:ser>
        <c:ser>
          <c:idx val="10"/>
          <c:order val="10"/>
          <c:tx>
            <c:strRef>
              <c:f>'Fig 4(e-g) - NMC-Li'!$J$14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5-815D-E64A-8A25-02AE35F83607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815D-E64A-8A25-02AE35F83607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NMC-Li'!$K$14:$N$14</c:f>
              <c:numCache>
                <c:formatCode>0.00</c:formatCode>
                <c:ptCount val="4"/>
                <c:pt idx="0">
                  <c:v>6231.6872100000001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6231.6872100000001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815D-E64A-8A25-02AE35F83607}"/>
            </c:ext>
          </c:extLst>
        </c:ser>
        <c:ser>
          <c:idx val="11"/>
          <c:order val="11"/>
          <c:tx>
            <c:strRef>
              <c:f>'Fig 4(e-g) - NMC-Li'!$J$15</c:f>
              <c:strCache>
                <c:ptCount val="1"/>
                <c:pt idx="0">
                  <c:v>Argentina_Argentina_Japan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815D-E64A-8A25-02AE35F8360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NMC-Li'!$K$15:$N$15</c:f>
              <c:numCache>
                <c:formatCode>0.00</c:formatCode>
                <c:ptCount val="4"/>
                <c:pt idx="0">
                  <c:v>366.15863000000002</c:v>
                </c:pt>
                <c:pt idx="1">
                  <c:v>0</c:v>
                </c:pt>
                <c:pt idx="2" formatCode="General">
                  <c:v>0</c:v>
                </c:pt>
                <c:pt idx="3">
                  <c:v>366.15863000000002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815D-E64A-8A25-02AE35F83607}"/>
            </c:ext>
          </c:extLst>
        </c:ser>
        <c:ser>
          <c:idx val="12"/>
          <c:order val="12"/>
          <c:tx>
            <c:strRef>
              <c:f>'Fig 4(e-g) - NMC-Li'!$J$16</c:f>
              <c:strCache>
                <c:ptCount val="1"/>
                <c:pt idx="0">
                  <c:v>Chile_Chile_Japan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NMC-Li'!$K$16:$N$16</c:f>
              <c:numCache>
                <c:formatCode>0.00</c:formatCode>
                <c:ptCount val="4"/>
                <c:pt idx="0">
                  <c:v>1420.5008893300001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1420.5008893300001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815D-E64A-8A25-02AE35F83607}"/>
            </c:ext>
          </c:extLst>
        </c:ser>
        <c:ser>
          <c:idx val="13"/>
          <c:order val="13"/>
          <c:tx>
            <c:strRef>
              <c:f>'Fig 4(e-g) - NMC-Li'!$J$17</c:f>
              <c:strCache>
                <c:ptCount val="1"/>
                <c:pt idx="0">
                  <c:v>Uncertain_Uncertain_Japan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NMC-Li'!$K$17:$N$17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3-815D-E64A-8A25-02AE35F83607}"/>
            </c:ext>
          </c:extLst>
        </c:ser>
        <c:ser>
          <c:idx val="14"/>
          <c:order val="14"/>
          <c:tx>
            <c:strRef>
              <c:f>'Fig 4(e-g) - NMC-Li'!$J$18</c:f>
              <c:strCache>
                <c:ptCount val="1"/>
                <c:pt idx="0">
                  <c:v>Chile_Chile_SK</c:v>
                </c:pt>
              </c:strCache>
            </c:strRef>
          </c:tx>
          <c:spPr>
            <a:solidFill>
              <a:srgbClr val="A9D0A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815D-E64A-8A25-02AE35F8360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NMC-Li'!$K$18:$N$18</c:f>
              <c:numCache>
                <c:formatCode>0.00</c:formatCode>
                <c:ptCount val="4"/>
                <c:pt idx="0">
                  <c:v>2977.7658655499999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2977.7658655499999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7-815D-E64A-8A25-02AE35F83607}"/>
            </c:ext>
          </c:extLst>
        </c:ser>
        <c:ser>
          <c:idx val="15"/>
          <c:order val="15"/>
          <c:tx>
            <c:strRef>
              <c:f>'Fig 4(e-g) - NMC-Li'!$J$19</c:f>
              <c:strCache>
                <c:ptCount val="1"/>
                <c:pt idx="0">
                  <c:v>Argentina_Argentina_SK</c:v>
                </c:pt>
              </c:strCache>
            </c:strRef>
          </c:tx>
          <c:spPr>
            <a:solidFill>
              <a:srgbClr val="FBE1A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815D-E64A-8A25-02AE35F8360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NMC-Li'!$K$19:$N$19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B-815D-E64A-8A25-02AE35F83607}"/>
            </c:ext>
          </c:extLst>
        </c:ser>
        <c:ser>
          <c:idx val="16"/>
          <c:order val="16"/>
          <c:tx>
            <c:strRef>
              <c:f>'Fig 4(e-g) - NMC-Li'!$J$20</c:f>
              <c:strCache>
                <c:ptCount val="1"/>
                <c:pt idx="0">
                  <c:v>Uncertain_Uncertain_SK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C-815D-E64A-8A25-02AE35F8360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815D-E64A-8A25-02AE35F83607}"/>
              </c:ext>
            </c:extLst>
          </c:dPt>
          <c:cat>
            <c:strRef>
              <c:f>'Fig 4(e-g) - NMC-Li'!$K$3:$N$3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NMC-Li'!$K$20:$N$20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F-815D-E64A-8A25-02AE35F836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22600679"/>
        <c:axId val="806887302"/>
      </c:barChart>
      <c:catAx>
        <c:axId val="2226006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NCM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06887302"/>
        <c:crosses val="autoZero"/>
        <c:auto val="1"/>
        <c:lblAlgn val="ctr"/>
        <c:lblOffset val="100"/>
        <c:noMultiLvlLbl val="1"/>
      </c:catAx>
      <c:valAx>
        <c:axId val="80688730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22600679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4(e-g) - NMC-Li'!$S$4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NMC-Li'!$T$4:$W$4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6231.6872100000001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26A-5547-A527-743E9EC01024}"/>
            </c:ext>
          </c:extLst>
        </c:ser>
        <c:ser>
          <c:idx val="1"/>
          <c:order val="1"/>
          <c:tx>
            <c:strRef>
              <c:f>'Fig 4(e-g) - NMC-Li'!$S$5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526A-5547-A527-743E9EC01024}"/>
              </c:ext>
            </c:extLst>
          </c:dPt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NMC-Li'!$T$5:$W$5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1786.65951933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526A-5547-A527-743E9EC01024}"/>
            </c:ext>
          </c:extLst>
        </c:ser>
        <c:ser>
          <c:idx val="2"/>
          <c:order val="2"/>
          <c:tx>
            <c:strRef>
              <c:f>'Fig 4(e-g) - NMC-Li'!$S$6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526A-5547-A527-743E9EC01024}"/>
              </c:ext>
            </c:extLst>
          </c:dPt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NMC-Li'!$T$6:$W$6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2977.7658655499999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526A-5547-A527-743E9EC01024}"/>
            </c:ext>
          </c:extLst>
        </c:ser>
        <c:ser>
          <c:idx val="3"/>
          <c:order val="3"/>
          <c:tx>
            <c:strRef>
              <c:f>'Fig 4(e-g) - NMC-Li'!$S$7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526A-5547-A527-743E9EC01024}"/>
              </c:ext>
            </c:extLst>
          </c:dPt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NMC-Li'!$T$7:$W$7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6231.6872100000001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526A-5547-A527-743E9EC01024}"/>
            </c:ext>
          </c:extLst>
        </c:ser>
        <c:ser>
          <c:idx val="4"/>
          <c:order val="4"/>
          <c:tx>
            <c:strRef>
              <c:f>'Fig 4(e-g) - NMC-Li'!$S$8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526A-5547-A527-743E9EC01024}"/>
              </c:ext>
            </c:extLst>
          </c:dPt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NMC-Li'!$T$8:$W$8</c:f>
              <c:numCache>
                <c:formatCode>0.00</c:formatCode>
                <c:ptCount val="4"/>
                <c:pt idx="0">
                  <c:v>0</c:v>
                </c:pt>
                <c:pt idx="1">
                  <c:v>1786.65951933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526A-5547-A527-743E9EC01024}"/>
            </c:ext>
          </c:extLst>
        </c:ser>
        <c:ser>
          <c:idx val="5"/>
          <c:order val="5"/>
          <c:tx>
            <c:strRef>
              <c:f>'Fig 4(e-g) - NMC-Li'!$S$9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526A-5547-A527-743E9EC01024}"/>
              </c:ext>
            </c:extLst>
          </c:dPt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NMC-Li'!$T$9:$W$9</c:f>
              <c:numCache>
                <c:formatCode>0.00</c:formatCode>
                <c:ptCount val="4"/>
                <c:pt idx="0">
                  <c:v>0</c:v>
                </c:pt>
                <c:pt idx="1">
                  <c:v>2977.7658655499999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526A-5547-A527-743E9EC01024}"/>
            </c:ext>
          </c:extLst>
        </c:ser>
        <c:ser>
          <c:idx val="6"/>
          <c:order val="6"/>
          <c:tx>
            <c:strRef>
              <c:f>'Fig 4(e-g) - NMC-Li'!$S$10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D-526A-5547-A527-743E9EC0102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526A-5547-A527-743E9EC01024}"/>
              </c:ext>
            </c:extLst>
          </c:dPt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NMC-Li'!$T$10:$W$10</c:f>
              <c:numCache>
                <c:formatCode>0.00</c:formatCode>
                <c:ptCount val="4"/>
                <c:pt idx="0" formatCode="General">
                  <c:v>6231.6872100000001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6231.6872100000001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526A-5547-A527-743E9EC01024}"/>
            </c:ext>
          </c:extLst>
        </c:ser>
        <c:ser>
          <c:idx val="7"/>
          <c:order val="7"/>
          <c:tx>
            <c:strRef>
              <c:f>'Fig 4(e-g) - NMC-Li'!$S$11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2-526A-5547-A527-743E9EC0102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526A-5547-A527-743E9EC01024}"/>
              </c:ext>
            </c:extLst>
          </c:dPt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NMC-Li'!$T$11:$W$11</c:f>
              <c:numCache>
                <c:formatCode>0.00</c:formatCode>
                <c:ptCount val="4"/>
                <c:pt idx="0">
                  <c:v>1786.65951933</c:v>
                </c:pt>
                <c:pt idx="1">
                  <c:v>0</c:v>
                </c:pt>
                <c:pt idx="2" formatCode="General">
                  <c:v>0</c:v>
                </c:pt>
                <c:pt idx="3">
                  <c:v>1786.65951933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526A-5547-A527-743E9EC01024}"/>
            </c:ext>
          </c:extLst>
        </c:ser>
        <c:ser>
          <c:idx val="8"/>
          <c:order val="8"/>
          <c:tx>
            <c:strRef>
              <c:f>'Fig 4(e-g) - NMC-Li'!$S$12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526A-5547-A527-743E9EC01024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526A-5547-A527-743E9EC01024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526A-5547-A527-743E9EC01024}"/>
              </c:ext>
            </c:extLst>
          </c:dPt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NMC-Li'!$T$12:$W$12</c:f>
              <c:numCache>
                <c:formatCode>0.00</c:formatCode>
                <c:ptCount val="4"/>
                <c:pt idx="0">
                  <c:v>2977.7658655499999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2977.7658655499999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B-526A-5547-A527-743E9EC01024}"/>
            </c:ext>
          </c:extLst>
        </c:ser>
        <c:ser>
          <c:idx val="9"/>
          <c:order val="9"/>
          <c:tx>
            <c:strRef>
              <c:f>'Fig 4(e-g) - NMC-Li'!$S$13</c:f>
              <c:strCache>
                <c:ptCount val="1"/>
              </c:strCache>
            </c:strRef>
          </c:tx>
          <c:invertIfNegative val="1"/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NMC-Li'!$T$13:$W$13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C-526A-5547-A527-743E9EC01024}"/>
            </c:ext>
          </c:extLst>
        </c:ser>
        <c:ser>
          <c:idx val="10"/>
          <c:order val="10"/>
          <c:tx>
            <c:strRef>
              <c:f>'Fig 4(e-g) - NMC-Li'!$S$14</c:f>
              <c:strCache>
                <c:ptCount val="1"/>
              </c:strCache>
            </c:strRef>
          </c:tx>
          <c:invertIfNegative val="1"/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NMC-Li'!$T$14:$W$14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D-526A-5547-A527-743E9EC01024}"/>
            </c:ext>
          </c:extLst>
        </c:ser>
        <c:ser>
          <c:idx val="11"/>
          <c:order val="11"/>
          <c:tx>
            <c:strRef>
              <c:f>'Fig 4(e-g) - NMC-Li'!$S$15</c:f>
              <c:strCache>
                <c:ptCount val="1"/>
              </c:strCache>
            </c:strRef>
          </c:tx>
          <c:invertIfNegative val="1"/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NMC-Li'!$T$15:$W$15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E-526A-5547-A527-743E9EC01024}"/>
            </c:ext>
          </c:extLst>
        </c:ser>
        <c:ser>
          <c:idx val="12"/>
          <c:order val="12"/>
          <c:tx>
            <c:strRef>
              <c:f>'Fig 4(e-g) - NMC-Li'!$S$16</c:f>
              <c:strCache>
                <c:ptCount val="1"/>
              </c:strCache>
            </c:strRef>
          </c:tx>
          <c:invertIfNegative val="1"/>
          <c:cat>
            <c:strRef>
              <c:f>'Fig 4(e-g) - NMC-Li'!$T$3:$W$3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4(e-g) - NMC-Li'!$T$16:$W$16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1F-526A-5547-A527-743E9EC01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0409842"/>
        <c:axId val="277175702"/>
      </c:barChart>
      <c:catAx>
        <c:axId val="1704098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NCM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7175702"/>
        <c:crosses val="autoZero"/>
        <c:auto val="1"/>
        <c:lblAlgn val="ctr"/>
        <c:lblOffset val="100"/>
        <c:noMultiLvlLbl val="1"/>
      </c:catAx>
      <c:valAx>
        <c:axId val="27717570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0409842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D1-2 - NMC-Ni'!$J$3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NMC-Ni'!$K$3:$N$3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28826.657369999899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FF5-C443-82D8-3A6111685714}"/>
            </c:ext>
          </c:extLst>
        </c:ser>
        <c:ser>
          <c:idx val="1"/>
          <c:order val="1"/>
          <c:tx>
            <c:strRef>
              <c:f>'Fig D1-2 - NMC-Ni'!$J$4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NMC-Ni'!$K$4:$N$4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8264.7636290099999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1FF5-C443-82D8-3A6111685714}"/>
            </c:ext>
          </c:extLst>
        </c:ser>
        <c:ser>
          <c:idx val="2"/>
          <c:order val="2"/>
          <c:tx>
            <c:strRef>
              <c:f>'Fig D1-2 - NMC-Ni'!$J$5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NMC-Ni'!$K$5:$N$5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13774.60604835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1FF5-C443-82D8-3A6111685714}"/>
            </c:ext>
          </c:extLst>
        </c:ser>
        <c:ser>
          <c:idx val="3"/>
          <c:order val="3"/>
          <c:tx>
            <c:strRef>
              <c:f>'Fig D1-2 - NMC-Ni'!$J$6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NMC-Ni'!$K$6:$N$6</c:f>
              <c:numCache>
                <c:formatCode>0.00</c:formatCode>
                <c:ptCount val="4"/>
                <c:pt idx="0">
                  <c:v>0</c:v>
                </c:pt>
                <c:pt idx="1">
                  <c:v>28826.657369999899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1FF5-C443-82D8-3A6111685714}"/>
            </c:ext>
          </c:extLst>
        </c:ser>
        <c:ser>
          <c:idx val="4"/>
          <c:order val="4"/>
          <c:tx>
            <c:strRef>
              <c:f>'Fig D1-2 - NMC-Ni'!$J$7</c:f>
              <c:strCache>
                <c:ptCount val="1"/>
                <c:pt idx="0">
                  <c:v>Finland_Japan</c:v>
                </c:pt>
              </c:strCache>
            </c:strRef>
          </c:tx>
          <c:spPr>
            <a:solidFill>
              <a:srgbClr val="35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NMC-Ni'!$K$7:$N$7</c:f>
              <c:numCache>
                <c:formatCode>0.00</c:formatCode>
                <c:ptCount val="4"/>
                <c:pt idx="0">
                  <c:v>0</c:v>
                </c:pt>
                <c:pt idx="1">
                  <c:v>2820.6936290100002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1FF5-C443-82D8-3A6111685714}"/>
            </c:ext>
          </c:extLst>
        </c:ser>
        <c:ser>
          <c:idx val="5"/>
          <c:order val="5"/>
          <c:tx>
            <c:strRef>
              <c:f>'Fig D1-2 - NMC-Ni'!$J$8</c:f>
              <c:strCache>
                <c:ptCount val="1"/>
                <c:pt idx="0">
                  <c:v>SK_Japan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NMC-Ni'!$K$8:$N$8</c:f>
              <c:numCache>
                <c:formatCode>0.00</c:formatCode>
                <c:ptCount val="4"/>
                <c:pt idx="0">
                  <c:v>0</c:v>
                </c:pt>
                <c:pt idx="1">
                  <c:v>5444.07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1FF5-C443-82D8-3A6111685714}"/>
            </c:ext>
          </c:extLst>
        </c:ser>
        <c:ser>
          <c:idx val="6"/>
          <c:order val="6"/>
          <c:tx>
            <c:strRef>
              <c:f>'Fig D1-2 - NMC-Ni'!$J$9</c:f>
              <c:strCache>
                <c:ptCount val="1"/>
                <c:pt idx="0">
                  <c:v>Norway_SK</c:v>
                </c:pt>
              </c:strCache>
            </c:strRef>
          </c:tx>
          <c:spPr>
            <a:solidFill>
              <a:srgbClr val="3D85C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NMC-Ni'!$K$9:$N$9</c:f>
              <c:numCache>
                <c:formatCode>0.00</c:formatCode>
                <c:ptCount val="4"/>
                <c:pt idx="0">
                  <c:v>0</c:v>
                </c:pt>
                <c:pt idx="1">
                  <c:v>2274.8250483500005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1FF5-C443-82D8-3A6111685714}"/>
            </c:ext>
          </c:extLst>
        </c:ser>
        <c:ser>
          <c:idx val="7"/>
          <c:order val="7"/>
          <c:tx>
            <c:strRef>
              <c:f>'Fig D1-2 - NMC-Ni'!$J$10</c:f>
              <c:strCache>
                <c:ptCount val="1"/>
                <c:pt idx="0">
                  <c:v>Finland_SK</c:v>
                </c:pt>
              </c:strCache>
            </c:strRef>
          </c:tx>
          <c:spPr>
            <a:solidFill>
              <a:srgbClr val="35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NMC-Ni'!$K$10:$N$10</c:f>
              <c:numCache>
                <c:formatCode>0.00</c:formatCode>
                <c:ptCount val="4"/>
                <c:pt idx="0">
                  <c:v>0</c:v>
                </c:pt>
                <c:pt idx="1">
                  <c:v>7484.9970000000003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1FF5-C443-82D8-3A6111685714}"/>
            </c:ext>
          </c:extLst>
        </c:ser>
        <c:ser>
          <c:idx val="8"/>
          <c:order val="8"/>
          <c:tx>
            <c:strRef>
              <c:f>'Fig D1-2 - NMC-Ni'!$J$11</c:f>
              <c:strCache>
                <c:ptCount val="1"/>
                <c:pt idx="0">
                  <c:v>SK_SK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NMC-Ni'!$K$11:$N$11</c:f>
              <c:numCache>
                <c:formatCode>0.00</c:formatCode>
                <c:ptCount val="4"/>
                <c:pt idx="0">
                  <c:v>0</c:v>
                </c:pt>
                <c:pt idx="1">
                  <c:v>4014.7840000000001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1FF5-C443-82D8-3A6111685714}"/>
            </c:ext>
          </c:extLst>
        </c:ser>
        <c:ser>
          <c:idx val="9"/>
          <c:order val="9"/>
          <c:tx>
            <c:strRef>
              <c:f>'Fig D1-2 - NMC-Ni'!$J$12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1-1FF5-C443-82D8-3A6111685714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3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NMC-Ni'!$K$12:$N$12</c:f>
              <c:numCache>
                <c:formatCode>0.00</c:formatCode>
                <c:ptCount val="4"/>
                <c:pt idx="0">
                  <c:v>28826.657369999899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28826.657369999899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1FF5-C443-82D8-3A6111685714}"/>
            </c:ext>
          </c:extLst>
        </c:ser>
        <c:ser>
          <c:idx val="10"/>
          <c:order val="10"/>
          <c:tx>
            <c:strRef>
              <c:f>'Fig D1-2 - NMC-Ni'!$J$13</c:f>
              <c:strCache>
                <c:ptCount val="1"/>
                <c:pt idx="0">
                  <c:v>Canada_Finland_Japan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1FF5-C443-82D8-3A6111685714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1FF5-C443-82D8-3A611168571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NMC-Ni'!$K$13:$N$13</c:f>
              <c:numCache>
                <c:formatCode>0.00</c:formatCode>
                <c:ptCount val="4"/>
                <c:pt idx="0">
                  <c:v>1464.39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1464.39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1FF5-C443-82D8-3A6111685714}"/>
            </c:ext>
          </c:extLst>
        </c:ser>
        <c:ser>
          <c:idx val="11"/>
          <c:order val="11"/>
          <c:tx>
            <c:strRef>
              <c:f>'Fig D1-2 - NMC-Ni'!$J$14</c:f>
              <c:strCache>
                <c:ptCount val="1"/>
                <c:pt idx="0">
                  <c:v>Uncertain_Finland_Japan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1FF5-C443-82D8-3A611168571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NMC-Ni'!$K$14:$N$14</c:f>
              <c:numCache>
                <c:formatCode>0.00</c:formatCode>
                <c:ptCount val="4"/>
                <c:pt idx="0">
                  <c:v>1356.3036290099999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1356.3036290099999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1FF5-C443-82D8-3A6111685714}"/>
            </c:ext>
          </c:extLst>
        </c:ser>
        <c:ser>
          <c:idx val="12"/>
          <c:order val="12"/>
          <c:tx>
            <c:strRef>
              <c:f>'Fig D1-2 - NMC-Ni'!$J$15</c:f>
              <c:strCache>
                <c:ptCount val="1"/>
                <c:pt idx="0">
                  <c:v>NewCaledonia_SK_Japan</c:v>
                </c:pt>
              </c:strCache>
            </c:strRef>
          </c:tx>
          <c:spPr>
            <a:solidFill>
              <a:srgbClr val="DD7E6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NMC-Ni'!$K$15:$N$15</c:f>
              <c:numCache>
                <c:formatCode>0.00</c:formatCode>
                <c:ptCount val="4"/>
                <c:pt idx="0">
                  <c:v>5444.07</c:v>
                </c:pt>
                <c:pt idx="1">
                  <c:v>0</c:v>
                </c:pt>
                <c:pt idx="2" formatCode="General">
                  <c:v>0</c:v>
                </c:pt>
                <c:pt idx="3">
                  <c:v>5444.07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1FF5-C443-82D8-3A6111685714}"/>
            </c:ext>
          </c:extLst>
        </c:ser>
        <c:ser>
          <c:idx val="13"/>
          <c:order val="13"/>
          <c:tx>
            <c:strRef>
              <c:f>'Fig D1-2 - NMC-Ni'!$J$16</c:f>
              <c:strCache>
                <c:ptCount val="1"/>
                <c:pt idx="0">
                  <c:v>Uncertain_Norway_SK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NMC-Ni'!$K$16:$N$16</c:f>
              <c:numCache>
                <c:formatCode>0.00</c:formatCode>
                <c:ptCount val="4"/>
                <c:pt idx="0">
                  <c:v>2274.8250483500005</c:v>
                </c:pt>
                <c:pt idx="1">
                  <c:v>0</c:v>
                </c:pt>
                <c:pt idx="2" formatCode="General">
                  <c:v>0</c:v>
                </c:pt>
                <c:pt idx="3">
                  <c:v>2274.8250483500005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3-1FF5-C443-82D8-3A6111685714}"/>
            </c:ext>
          </c:extLst>
        </c:ser>
        <c:ser>
          <c:idx val="14"/>
          <c:order val="14"/>
          <c:tx>
            <c:strRef>
              <c:f>'Fig D1-2 - NMC-Ni'!$J$17</c:f>
              <c:strCache>
                <c:ptCount val="1"/>
                <c:pt idx="0">
                  <c:v>Uncertain_Finland_SK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1FF5-C443-82D8-3A611168571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NMC-Ni'!$K$17:$N$17</c:f>
              <c:numCache>
                <c:formatCode>0.00</c:formatCode>
                <c:ptCount val="4"/>
                <c:pt idx="0">
                  <c:v>7484.9970000000003</c:v>
                </c:pt>
                <c:pt idx="1">
                  <c:v>0</c:v>
                </c:pt>
                <c:pt idx="2" formatCode="General">
                  <c:v>0</c:v>
                </c:pt>
                <c:pt idx="3">
                  <c:v>7484.9970000000003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7-1FF5-C443-82D8-3A6111685714}"/>
            </c:ext>
          </c:extLst>
        </c:ser>
        <c:ser>
          <c:idx val="15"/>
          <c:order val="15"/>
          <c:tx>
            <c:strRef>
              <c:f>'Fig D1-2 - NMC-Ni'!$J$18</c:f>
              <c:strCache>
                <c:ptCount val="1"/>
                <c:pt idx="0">
                  <c:v>NewCaledonia_SK_SK</c:v>
                </c:pt>
              </c:strCache>
            </c:strRef>
          </c:tx>
          <c:spPr>
            <a:solidFill>
              <a:srgbClr val="DD7E6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1FF5-C443-82D8-3A611168571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1FF5-C443-82D8-3A6111685714}"/>
              </c:ext>
            </c:extLst>
          </c:dPt>
          <c:cat>
            <c:strRef>
              <c:f>'Fig D1-2 - NMC-Ni'!$K$2:$N$2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NMC-Ni'!$K$18:$N$18</c:f>
              <c:numCache>
                <c:formatCode>0.00</c:formatCode>
                <c:ptCount val="4"/>
                <c:pt idx="0">
                  <c:v>4014.7840000000001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4014.7840000000001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B-1FF5-C443-82D8-3A6111685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630873"/>
        <c:axId val="652876152"/>
      </c:barChart>
      <c:catAx>
        <c:axId val="156630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NCM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2876152"/>
        <c:crosses val="autoZero"/>
        <c:auto val="1"/>
        <c:lblAlgn val="ctr"/>
        <c:lblOffset val="100"/>
        <c:noMultiLvlLbl val="1"/>
      </c:catAx>
      <c:valAx>
        <c:axId val="65287615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630873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D1-2 - NMC-Ni'!$A$3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NMC-Ni'!$B$3:$E$3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28826.657370000001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E82-A744-99DA-3605E7FFE87A}"/>
            </c:ext>
          </c:extLst>
        </c:ser>
        <c:ser>
          <c:idx val="1"/>
          <c:order val="1"/>
          <c:tx>
            <c:strRef>
              <c:f>'Fig D1-2 - NMC-Ni'!$A$4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NMC-Ni'!$B$4:$E$4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8264.7636289999991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E82-A744-99DA-3605E7FFE87A}"/>
            </c:ext>
          </c:extLst>
        </c:ser>
        <c:ser>
          <c:idx val="2"/>
          <c:order val="2"/>
          <c:tx>
            <c:strRef>
              <c:f>'Fig D1-2 - NMC-Ni'!$A$5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NMC-Ni'!$B$5:$E$5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13774.60605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E82-A744-99DA-3605E7FFE87A}"/>
            </c:ext>
          </c:extLst>
        </c:ser>
        <c:ser>
          <c:idx val="3"/>
          <c:order val="3"/>
          <c:tx>
            <c:strRef>
              <c:f>'Fig D1-2 - NMC-Ni'!$A$6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NMC-Ni'!$B$6:$E$6</c:f>
              <c:numCache>
                <c:formatCode>0.00</c:formatCode>
                <c:ptCount val="4"/>
                <c:pt idx="0">
                  <c:v>0</c:v>
                </c:pt>
                <c:pt idx="1">
                  <c:v>20977.432810316674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BE82-A744-99DA-3605E7FFE87A}"/>
            </c:ext>
          </c:extLst>
        </c:ser>
        <c:ser>
          <c:idx val="4"/>
          <c:order val="4"/>
          <c:tx>
            <c:strRef>
              <c:f>'Fig D1-2 - NMC-Ni'!$A$7</c:f>
              <c:strCache>
                <c:ptCount val="1"/>
                <c:pt idx="0">
                  <c:v>Japan_China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NMC-Ni'!$B$7:$E$7</c:f>
              <c:numCache>
                <c:formatCode>0.00</c:formatCode>
                <c:ptCount val="4"/>
                <c:pt idx="0">
                  <c:v>0</c:v>
                </c:pt>
                <c:pt idx="1">
                  <c:v>1591.2559385531952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BE82-A744-99DA-3605E7FFE87A}"/>
            </c:ext>
          </c:extLst>
        </c:ser>
        <c:ser>
          <c:idx val="5"/>
          <c:order val="5"/>
          <c:tx>
            <c:strRef>
              <c:f>'Fig D1-2 - NMC-Ni'!$A$8</c:f>
              <c:strCache>
                <c:ptCount val="1"/>
                <c:pt idx="0">
                  <c:v>SK_China</c:v>
                </c:pt>
              </c:strCache>
            </c:strRef>
          </c:tx>
          <c:spPr>
            <a:solidFill>
              <a:srgbClr val="CCC2F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NMC-Ni'!$B$8:$E$8</c:f>
              <c:numCache>
                <c:formatCode>0.00</c:formatCode>
                <c:ptCount val="4"/>
                <c:pt idx="0">
                  <c:v>0</c:v>
                </c:pt>
                <c:pt idx="1">
                  <c:v>7.7771500734039378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BE82-A744-99DA-3605E7FFE87A}"/>
            </c:ext>
          </c:extLst>
        </c:ser>
        <c:ser>
          <c:idx val="6"/>
          <c:order val="6"/>
          <c:tx>
            <c:strRef>
              <c:f>'Fig D1-2 - NMC-Ni'!$A$9</c:f>
              <c:strCache>
                <c:ptCount val="1"/>
                <c:pt idx="0">
                  <c:v>Norway_China</c:v>
                </c:pt>
              </c:strCache>
            </c:strRef>
          </c:tx>
          <c:spPr>
            <a:solidFill>
              <a:srgbClr val="3D85C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NMC-Ni'!$B$9:$E$9</c:f>
              <c:numCache>
                <c:formatCode>0.00</c:formatCode>
                <c:ptCount val="4"/>
                <c:pt idx="0">
                  <c:v>0</c:v>
                </c:pt>
                <c:pt idx="1">
                  <c:v>1516.9629414658209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BE82-A744-99DA-3605E7FFE87A}"/>
            </c:ext>
          </c:extLst>
        </c:ser>
        <c:ser>
          <c:idx val="7"/>
          <c:order val="7"/>
          <c:tx>
            <c:strRef>
              <c:f>'Fig D1-2 - NMC-Ni'!$A$10</c:f>
              <c:strCache>
                <c:ptCount val="1"/>
                <c:pt idx="0">
                  <c:v>Finland_China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NMC-Ni'!$B$10:$E$10</c:f>
              <c:numCache>
                <c:formatCode>0.00</c:formatCode>
                <c:ptCount val="4"/>
                <c:pt idx="0">
                  <c:v>0</c:v>
                </c:pt>
                <c:pt idx="1">
                  <c:v>3278.9933972586005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BE82-A744-99DA-3605E7FFE87A}"/>
            </c:ext>
          </c:extLst>
        </c:ser>
        <c:ser>
          <c:idx val="8"/>
          <c:order val="8"/>
          <c:tx>
            <c:strRef>
              <c:f>'Fig D1-2 - NMC-Ni'!$A$11</c:f>
              <c:strCache>
                <c:ptCount val="1"/>
                <c:pt idx="0">
                  <c:v>UK_China</c:v>
                </c:pt>
              </c:strCache>
            </c:strRef>
          </c:tx>
          <c:spPr>
            <a:solidFill>
              <a:srgbClr val="9E9E9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NMC-Ni'!$B$11:$E$11</c:f>
              <c:numCache>
                <c:formatCode>0.00</c:formatCode>
                <c:ptCount val="4"/>
                <c:pt idx="0">
                  <c:v>0</c:v>
                </c:pt>
                <c:pt idx="1">
                  <c:v>887.14341834793163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BE82-A744-99DA-3605E7FFE87A}"/>
            </c:ext>
          </c:extLst>
        </c:ser>
        <c:ser>
          <c:idx val="9"/>
          <c:order val="9"/>
          <c:tx>
            <c:strRef>
              <c:f>'Fig D1-2 - NMC-Ni'!$A$12</c:f>
              <c:strCache>
                <c:ptCount val="1"/>
                <c:pt idx="0">
                  <c:v>SouthAfrica_China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NMC-Ni'!$B$12:$E$12</c:f>
              <c:numCache>
                <c:formatCode>0.00</c:formatCode>
                <c:ptCount val="4"/>
                <c:pt idx="0">
                  <c:v>0</c:v>
                </c:pt>
                <c:pt idx="1">
                  <c:v>513.70976240033042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BE82-A744-99DA-3605E7FFE87A}"/>
            </c:ext>
          </c:extLst>
        </c:ser>
        <c:ser>
          <c:idx val="10"/>
          <c:order val="10"/>
          <c:tx>
            <c:strRef>
              <c:f>'Fig D1-2 - NMC-Ni'!$A$13</c:f>
              <c:strCache>
                <c:ptCount val="1"/>
                <c:pt idx="0">
                  <c:v>France_China</c:v>
                </c:pt>
              </c:strCache>
            </c:strRef>
          </c:tx>
          <c:spPr>
            <a:solidFill>
              <a:srgbClr val="DD7E6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NMC-Ni'!$B$13:$E$13</c:f>
              <c:numCache>
                <c:formatCode>0.00</c:formatCode>
                <c:ptCount val="4"/>
                <c:pt idx="0">
                  <c:v>0</c:v>
                </c:pt>
                <c:pt idx="1">
                  <c:v>53.27922883743409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BE82-A744-99DA-3605E7FFE87A}"/>
            </c:ext>
          </c:extLst>
        </c:ser>
        <c:ser>
          <c:idx val="11"/>
          <c:order val="11"/>
          <c:tx>
            <c:strRef>
              <c:f>'Fig D1-2 - NMC-Ni'!$A$14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NMC-Ni'!$B$14:$E$14</c:f>
              <c:numCache>
                <c:formatCode>0.00</c:formatCode>
                <c:ptCount val="4"/>
                <c:pt idx="0">
                  <c:v>0</c:v>
                </c:pt>
                <c:pt idx="1">
                  <c:v>252.48905891191839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BE82-A744-99DA-3605E7FFE87A}"/>
            </c:ext>
          </c:extLst>
        </c:ser>
        <c:ser>
          <c:idx val="12"/>
          <c:order val="12"/>
          <c:tx>
            <c:strRef>
              <c:f>'Fig D1-2 - NMC-Ni'!$A$15</c:f>
              <c:strCache>
                <c:ptCount val="1"/>
                <c:pt idx="0">
                  <c:v>SK_Japan</c:v>
                </c:pt>
              </c:strCache>
            </c:strRef>
          </c:tx>
          <c:spPr>
            <a:solidFill>
              <a:srgbClr val="CCC2F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NMC-Ni'!$B$15:$E$15</c:f>
              <c:numCache>
                <c:formatCode>0.00</c:formatCode>
                <c:ptCount val="4"/>
                <c:pt idx="0">
                  <c:v>0</c:v>
                </c:pt>
                <c:pt idx="1">
                  <c:v>1360.4991681447677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BE82-A744-99DA-3605E7FFE87A}"/>
            </c:ext>
          </c:extLst>
        </c:ser>
        <c:ser>
          <c:idx val="13"/>
          <c:order val="13"/>
          <c:tx>
            <c:strRef>
              <c:f>'Fig D1-2 - NMC-Ni'!$A$16</c:f>
              <c:strCache>
                <c:ptCount val="1"/>
                <c:pt idx="0">
                  <c:v>Norway_Japan</c:v>
                </c:pt>
              </c:strCache>
            </c:strRef>
          </c:tx>
          <c:spPr>
            <a:solidFill>
              <a:srgbClr val="3D85C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NMC-Ni'!$B$16:$E$16</c:f>
              <c:numCache>
                <c:formatCode>0.00</c:formatCode>
                <c:ptCount val="4"/>
                <c:pt idx="0">
                  <c:v>0</c:v>
                </c:pt>
                <c:pt idx="1">
                  <c:v>1881.8741360629804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BE82-A744-99DA-3605E7FFE87A}"/>
            </c:ext>
          </c:extLst>
        </c:ser>
        <c:ser>
          <c:idx val="14"/>
          <c:order val="14"/>
          <c:tx>
            <c:strRef>
              <c:f>'Fig D1-2 - NMC-Ni'!$A$17</c:f>
              <c:strCache>
                <c:ptCount val="1"/>
                <c:pt idx="0">
                  <c:v>Finland_Japan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NMC-Ni'!$B$17:$E$17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2681.6709011436628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BE82-A744-99DA-3605E7FFE87A}"/>
            </c:ext>
          </c:extLst>
        </c:ser>
        <c:ser>
          <c:idx val="15"/>
          <c:order val="15"/>
          <c:tx>
            <c:strRef>
              <c:f>'Fig D1-2 - NMC-Ni'!$A$18</c:f>
              <c:strCache>
                <c:ptCount val="1"/>
                <c:pt idx="0">
                  <c:v>UK_Japan</c:v>
                </c:pt>
              </c:strCache>
            </c:strRef>
          </c:tx>
          <c:spPr>
            <a:solidFill>
              <a:srgbClr val="9E9E9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NMC-Ni'!$B$18:$E$18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1170.3226672603982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BE82-A744-99DA-3605E7FFE87A}"/>
            </c:ext>
          </c:extLst>
        </c:ser>
        <c:ser>
          <c:idx val="16"/>
          <c:order val="16"/>
          <c:tx>
            <c:strRef>
              <c:f>'Fig D1-2 - NMC-Ni'!$A$19</c:f>
              <c:strCache>
                <c:ptCount val="1"/>
                <c:pt idx="0">
                  <c:v>SouthAfrica_Japan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NMC-Ni'!$B$19:$E$19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917.90769747627144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5-BE82-A744-99DA-3605E7FFE87A}"/>
            </c:ext>
          </c:extLst>
        </c:ser>
        <c:ser>
          <c:idx val="17"/>
          <c:order val="17"/>
          <c:tx>
            <c:strRef>
              <c:f>'Fig D1-2 - NMC-Ni'!$A$20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6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NMC-Ni'!$B$20:$E$20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652.17895392639548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9-BE82-A744-99DA-3605E7FFE87A}"/>
            </c:ext>
          </c:extLst>
        </c:ser>
        <c:ser>
          <c:idx val="18"/>
          <c:order val="18"/>
          <c:tx>
            <c:strRef>
              <c:f>'Fig D1-2 - NMC-Ni'!$A$21</c:f>
              <c:strCache>
                <c:ptCount val="1"/>
                <c:pt idx="0">
                  <c:v>SK_SK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NMC-Ni'!$B$21:$E$21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3383.9796386181474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BE82-A744-99DA-3605E7FFE87A}"/>
            </c:ext>
          </c:extLst>
        </c:ser>
        <c:ser>
          <c:idx val="19"/>
          <c:order val="19"/>
          <c:tx>
            <c:strRef>
              <c:f>'Fig D1-2 - NMC-Ni'!$A$22</c:f>
              <c:strCache>
                <c:ptCount val="1"/>
                <c:pt idx="0">
                  <c:v>Norway_SK</c:v>
                </c:pt>
              </c:strCache>
            </c:strRef>
          </c:tx>
          <c:spPr>
            <a:solidFill>
              <a:srgbClr val="3D85C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NMC-Ni'!$B$22:$E$22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3139.2503819275903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F-BE82-A744-99DA-3605E7FFE87A}"/>
            </c:ext>
          </c:extLst>
        </c:ser>
        <c:ser>
          <c:idx val="20"/>
          <c:order val="20"/>
          <c:tx>
            <c:strRef>
              <c:f>'Fig D1-2 - NMC-Ni'!$A$23</c:f>
              <c:strCache>
                <c:ptCount val="1"/>
                <c:pt idx="0">
                  <c:v>Finland_SK</c:v>
                </c:pt>
              </c:strCache>
            </c:strRef>
          </c:tx>
          <c:spPr>
            <a:solidFill>
              <a:srgbClr val="34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0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2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NMC-Ni'!$B$23:$E$23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6308.951476123726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3-BE82-A744-99DA-3605E7FFE87A}"/>
            </c:ext>
          </c:extLst>
        </c:ser>
        <c:ser>
          <c:idx val="21"/>
          <c:order val="21"/>
          <c:tx>
            <c:strRef>
              <c:f>'Fig D1-2 - NMC-Ni'!$A$24</c:f>
              <c:strCache>
                <c:ptCount val="1"/>
                <c:pt idx="0">
                  <c:v>UK_SK</c:v>
                </c:pt>
              </c:strCache>
            </c:strRef>
          </c:tx>
          <c:spPr>
            <a:solidFill>
              <a:srgbClr val="9E9E9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NMC-Ni'!$B$24:$E$24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212.76810413122573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6-BE82-A744-99DA-3605E7FFE87A}"/>
            </c:ext>
          </c:extLst>
        </c:ser>
        <c:ser>
          <c:idx val="22"/>
          <c:order val="22"/>
          <c:tx>
            <c:strRef>
              <c:f>'Fig D1-2 - NMC-Ni'!$A$25</c:f>
              <c:strCache>
                <c:ptCount val="1"/>
                <c:pt idx="0">
                  <c:v>SouthAfrica_SK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8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NMC-Ni'!$B$25:$E$25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77.477495272916329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9-BE82-A744-99DA-3605E7FFE87A}"/>
            </c:ext>
          </c:extLst>
        </c:ser>
        <c:ser>
          <c:idx val="23"/>
          <c:order val="23"/>
          <c:tx>
            <c:strRef>
              <c:f>'Fig D1-2 - NMC-Ni'!$A$26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NMC-Ni'!$B$26:$E$26</c:f>
              <c:numCache>
                <c:formatCode>0.00</c:formatCode>
                <c:ptCount val="4"/>
                <c:pt idx="0">
                  <c:v>3610.7369588584984</c:v>
                </c:pt>
                <c:pt idx="1">
                  <c:v>0</c:v>
                </c:pt>
                <c:pt idx="2" formatCode="General">
                  <c:v>0</c:v>
                </c:pt>
                <c:pt idx="3">
                  <c:v>3610.7369588584984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D-BE82-A744-99DA-3605E7FFE87A}"/>
            </c:ext>
          </c:extLst>
        </c:ser>
        <c:ser>
          <c:idx val="24"/>
          <c:order val="24"/>
          <c:tx>
            <c:strRef>
              <c:f>'Fig D1-2 - NMC-Ni'!$A$27</c:f>
              <c:strCache>
                <c:ptCount val="1"/>
                <c:pt idx="0">
                  <c:v>Philippines_China_China</c:v>
                </c:pt>
              </c:strCache>
            </c:strRef>
          </c:tx>
          <c:spPr>
            <a:solidFill>
              <a:srgbClr val="FFD58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NMC-Ni'!$B$27:$E$27</c:f>
              <c:numCache>
                <c:formatCode>0.00</c:formatCode>
                <c:ptCount val="4"/>
                <c:pt idx="0">
                  <c:v>14436.05164126081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14436.05164126081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1-BE82-A744-99DA-3605E7FFE87A}"/>
            </c:ext>
          </c:extLst>
        </c:ser>
        <c:ser>
          <c:idx val="25"/>
          <c:order val="25"/>
          <c:tx>
            <c:strRef>
              <c:f>'Fig D1-2 - NMC-Ni'!$A$28</c:f>
              <c:strCache>
                <c:ptCount val="1"/>
                <c:pt idx="0">
                  <c:v>NewCaledonia_China_China</c:v>
                </c:pt>
              </c:strCache>
            </c:strRef>
          </c:tx>
          <c:spPr>
            <a:solidFill>
              <a:srgbClr val="E6B8A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3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NMC-Ni'!$B$28:$E$28</c:f>
              <c:numCache>
                <c:formatCode>0.00</c:formatCode>
                <c:ptCount val="4"/>
                <c:pt idx="0">
                  <c:v>1209.6562790285263</c:v>
                </c:pt>
                <c:pt idx="1">
                  <c:v>0</c:v>
                </c:pt>
                <c:pt idx="2" formatCode="General">
                  <c:v>0</c:v>
                </c:pt>
                <c:pt idx="3">
                  <c:v>1209.6562790285263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4-BE82-A744-99DA-3605E7FFE87A}"/>
            </c:ext>
          </c:extLst>
        </c:ser>
        <c:ser>
          <c:idx val="26"/>
          <c:order val="26"/>
          <c:tx>
            <c:strRef>
              <c:f>'Fig D1-2 - NMC-Ni'!$A$29</c:f>
              <c:strCache>
                <c:ptCount val="1"/>
                <c:pt idx="0">
                  <c:v>Indonesia_China_China</c:v>
                </c:pt>
              </c:strCache>
            </c:strRef>
          </c:tx>
          <c:spPr>
            <a:solidFill>
              <a:srgbClr val="53C55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5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7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NMC-Ni'!$B$29:$E$29</c:f>
              <c:numCache>
                <c:formatCode>0.00</c:formatCode>
                <c:ptCount val="4"/>
                <c:pt idx="0">
                  <c:v>1534.9969559670135</c:v>
                </c:pt>
                <c:pt idx="1">
                  <c:v>0</c:v>
                </c:pt>
                <c:pt idx="2" formatCode="General">
                  <c:v>0</c:v>
                </c:pt>
                <c:pt idx="3">
                  <c:v>1534.9969559670135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8-BE82-A744-99DA-3605E7FFE87A}"/>
            </c:ext>
          </c:extLst>
        </c:ser>
        <c:ser>
          <c:idx val="27"/>
          <c:order val="27"/>
          <c:tx>
            <c:strRef>
              <c:f>'Fig D1-2 - NMC-Ni'!$A$30</c:f>
              <c:strCache>
                <c:ptCount val="1"/>
                <c:pt idx="0">
                  <c:v>Australia_China_China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A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NMC-Ni'!$B$30:$E$30</c:f>
              <c:numCache>
                <c:formatCode>0.00</c:formatCode>
                <c:ptCount val="4"/>
                <c:pt idx="0">
                  <c:v>106.87047320715868</c:v>
                </c:pt>
                <c:pt idx="1">
                  <c:v>0</c:v>
                </c:pt>
                <c:pt idx="2" formatCode="General">
                  <c:v>0</c:v>
                </c:pt>
                <c:pt idx="3">
                  <c:v>106.87047320715868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B-BE82-A744-99DA-3605E7FFE87A}"/>
            </c:ext>
          </c:extLst>
        </c:ser>
        <c:ser>
          <c:idx val="28"/>
          <c:order val="28"/>
          <c:tx>
            <c:strRef>
              <c:f>'Fig D1-2 - NMC-Ni'!$A$31</c:f>
              <c:strCache>
                <c:ptCount val="1"/>
                <c:pt idx="0">
                  <c:v>Russia_China_China</c:v>
                </c:pt>
              </c:strCache>
            </c:strRef>
          </c:tx>
          <c:spPr>
            <a:solidFill>
              <a:srgbClr val="B7B7B7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D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NMC-Ni'!$B$31:$E$31</c:f>
              <c:numCache>
                <c:formatCode>0.00</c:formatCode>
                <c:ptCount val="4"/>
                <c:pt idx="0">
                  <c:v>57.381174005179929</c:v>
                </c:pt>
                <c:pt idx="1">
                  <c:v>0</c:v>
                </c:pt>
                <c:pt idx="2" formatCode="General">
                  <c:v>0</c:v>
                </c:pt>
                <c:pt idx="3">
                  <c:v>57.381174005179929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E-BE82-A744-99DA-3605E7FFE87A}"/>
            </c:ext>
          </c:extLst>
        </c:ser>
        <c:ser>
          <c:idx val="29"/>
          <c:order val="29"/>
          <c:tx>
            <c:strRef>
              <c:f>'Fig D1-2 - NMC-Ni'!$A$32</c:f>
              <c:strCache>
                <c:ptCount val="1"/>
                <c:pt idx="0">
                  <c:v>Brazil_China_China</c:v>
                </c:pt>
              </c:strCache>
            </c:strRef>
          </c:tx>
          <c:spPr>
            <a:solidFill>
              <a:srgbClr val="009639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F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1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NMC-Ni'!$B$32:$E$32</c:f>
              <c:numCache>
                <c:formatCode>0.00</c:formatCode>
                <c:ptCount val="4"/>
                <c:pt idx="0">
                  <c:v>21.739327989487233</c:v>
                </c:pt>
                <c:pt idx="1">
                  <c:v>0</c:v>
                </c:pt>
                <c:pt idx="2" formatCode="General">
                  <c:v>0</c:v>
                </c:pt>
                <c:pt idx="3">
                  <c:v>21.739327989487233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2-BE82-A744-99DA-3605E7FFE87A}"/>
            </c:ext>
          </c:extLst>
        </c:ser>
        <c:ser>
          <c:idx val="30"/>
          <c:order val="30"/>
          <c:tx>
            <c:strRef>
              <c:f>'Fig D1-2 - NMC-Ni'!$A$33</c:f>
              <c:strCache>
                <c:ptCount val="1"/>
                <c:pt idx="0">
                  <c:v>Philippines_Japan_China</c:v>
                </c:pt>
              </c:strCache>
            </c:strRef>
          </c:tx>
          <c:spPr>
            <a:solidFill>
              <a:srgbClr val="FFD581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4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NMC-Ni'!$B$33:$E$33</c:f>
              <c:numCache>
                <c:formatCode>0.00</c:formatCode>
                <c:ptCount val="4"/>
                <c:pt idx="0">
                  <c:v>409.24296707753001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409.24296707753001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5-BE82-A744-99DA-3605E7FFE87A}"/>
            </c:ext>
          </c:extLst>
        </c:ser>
        <c:ser>
          <c:idx val="31"/>
          <c:order val="31"/>
          <c:tx>
            <c:strRef>
              <c:f>'Fig D1-2 - NMC-Ni'!$A$34</c:f>
              <c:strCache>
                <c:ptCount val="1"/>
                <c:pt idx="0">
                  <c:v>NewCaledonia_Japan_China</c:v>
                </c:pt>
              </c:strCache>
            </c:strRef>
          </c:tx>
          <c:spPr>
            <a:solidFill>
              <a:srgbClr val="DD7E6B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7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NMC-Ni'!$B$34:$E$34</c:f>
              <c:numCache>
                <c:formatCode>0.00</c:formatCode>
                <c:ptCount val="4"/>
                <c:pt idx="0">
                  <c:v>1182.0129714756652</c:v>
                </c:pt>
                <c:pt idx="1">
                  <c:v>0</c:v>
                </c:pt>
                <c:pt idx="2" formatCode="General">
                  <c:v>0</c:v>
                </c:pt>
                <c:pt idx="3">
                  <c:v>1182.0129714756652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8-BE82-A744-99DA-3605E7FFE87A}"/>
            </c:ext>
          </c:extLst>
        </c:ser>
        <c:ser>
          <c:idx val="32"/>
          <c:order val="32"/>
          <c:tx>
            <c:strRef>
              <c:f>'Fig D1-2 - NMC-Ni'!$A$35</c:f>
              <c:strCache>
                <c:ptCount val="1"/>
                <c:pt idx="0">
                  <c:v>China_SK_China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A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NMC-Ni'!$B$35:$E$35</c:f>
              <c:numCache>
                <c:formatCode>0.00</c:formatCode>
                <c:ptCount val="4"/>
                <c:pt idx="0" formatCode="0.0000000">
                  <c:v>5.8352303323791878E-5</c:v>
                </c:pt>
                <c:pt idx="1">
                  <c:v>0</c:v>
                </c:pt>
                <c:pt idx="2" formatCode="General">
                  <c:v>0</c:v>
                </c:pt>
                <c:pt idx="3">
                  <c:v>5.8352303323791878E-5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B-BE82-A744-99DA-3605E7FFE87A}"/>
            </c:ext>
          </c:extLst>
        </c:ser>
        <c:ser>
          <c:idx val="33"/>
          <c:order val="33"/>
          <c:tx>
            <c:strRef>
              <c:f>'Fig D1-2 - NMC-Ni'!$A$36</c:f>
              <c:strCache>
                <c:ptCount val="1"/>
                <c:pt idx="0">
                  <c:v>NewCaledonia_SK_China</c:v>
                </c:pt>
              </c:strCache>
            </c:strRef>
          </c:tx>
          <c:spPr>
            <a:solidFill>
              <a:srgbClr val="DD7E6B"/>
            </a:solidFill>
            <a:ln w="9525" cmpd="sng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D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NMC-Ni'!$B$36:$E$36</c:f>
              <c:numCache>
                <c:formatCode>0.00</c:formatCode>
                <c:ptCount val="4"/>
                <c:pt idx="0">
                  <c:v>7.7770917211006134</c:v>
                </c:pt>
                <c:pt idx="1">
                  <c:v>0</c:v>
                </c:pt>
                <c:pt idx="2" formatCode="General">
                  <c:v>0</c:v>
                </c:pt>
                <c:pt idx="3">
                  <c:v>7.7770917211006134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10000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E-BE82-A744-99DA-3605E7FFE87A}"/>
            </c:ext>
          </c:extLst>
        </c:ser>
        <c:ser>
          <c:idx val="34"/>
          <c:order val="34"/>
          <c:tx>
            <c:strRef>
              <c:f>'Fig D1-2 - NMC-Ni'!$A$37</c:f>
              <c:strCache>
                <c:ptCount val="1"/>
                <c:pt idx="0">
                  <c:v>Norway_Norway_China</c:v>
                </c:pt>
              </c:strCache>
            </c:strRef>
          </c:tx>
          <c:spPr>
            <a:solidFill>
              <a:srgbClr val="3D85C6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F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1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NMC-Ni'!$B$37:$E$37</c:f>
              <c:numCache>
                <c:formatCode>0.00</c:formatCode>
                <c:ptCount val="4"/>
                <c:pt idx="0">
                  <c:v>1516.9629414658209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1516.9629414658209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2-BE82-A744-99DA-3605E7FFE87A}"/>
            </c:ext>
          </c:extLst>
        </c:ser>
        <c:ser>
          <c:idx val="35"/>
          <c:order val="35"/>
          <c:tx>
            <c:strRef>
              <c:f>'Fig D1-2 - NMC-Ni'!$A$38</c:f>
              <c:strCache>
                <c:ptCount val="1"/>
                <c:pt idx="0">
                  <c:v>Canada_Finland_China</c:v>
                </c:pt>
              </c:strCache>
            </c:strRef>
          </c:tx>
          <c:spPr>
            <a:solidFill>
              <a:srgbClr val="8AFF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4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NMC-Ni'!$B$38:$E$38</c:f>
              <c:numCache>
                <c:formatCode>0.00</c:formatCode>
                <c:ptCount val="4"/>
                <c:pt idx="0">
                  <c:v>3278.9933972586005</c:v>
                </c:pt>
                <c:pt idx="1">
                  <c:v>0</c:v>
                </c:pt>
                <c:pt idx="2" formatCode="General">
                  <c:v>0</c:v>
                </c:pt>
                <c:pt idx="3">
                  <c:v>3278.9933972586005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5-BE82-A744-99DA-3605E7FFE87A}"/>
            </c:ext>
          </c:extLst>
        </c:ser>
        <c:ser>
          <c:idx val="36"/>
          <c:order val="36"/>
          <c:tx>
            <c:strRef>
              <c:f>'Fig D1-2 - NMC-Ni'!$A$39</c:f>
              <c:strCache>
                <c:ptCount val="1"/>
                <c:pt idx="0">
                  <c:v>UK_UK_China</c:v>
                </c:pt>
              </c:strCache>
            </c:strRef>
          </c:tx>
          <c:spPr>
            <a:solidFill>
              <a:srgbClr val="9E9E9E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7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NMC-Ni'!$B$39:$E$39</c:f>
              <c:numCache>
                <c:formatCode>0.00</c:formatCode>
                <c:ptCount val="4"/>
                <c:pt idx="0">
                  <c:v>887.14341834793163</c:v>
                </c:pt>
                <c:pt idx="1">
                  <c:v>0</c:v>
                </c:pt>
                <c:pt idx="2" formatCode="General">
                  <c:v>0</c:v>
                </c:pt>
                <c:pt idx="3">
                  <c:v>887.14341834793163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8-BE82-A744-99DA-3605E7FFE87A}"/>
            </c:ext>
          </c:extLst>
        </c:ser>
        <c:ser>
          <c:idx val="37"/>
          <c:order val="37"/>
          <c:tx>
            <c:strRef>
              <c:f>'Fig D1-2 - NMC-Ni'!$A$40</c:f>
              <c:strCache>
                <c:ptCount val="1"/>
                <c:pt idx="0">
                  <c:v>Brazil_SouthAfrica_China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A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NMC-Ni'!$B$40:$E$40</c:f>
              <c:numCache>
                <c:formatCode>0.00</c:formatCode>
                <c:ptCount val="4"/>
                <c:pt idx="0">
                  <c:v>513.70976240033042</c:v>
                </c:pt>
                <c:pt idx="1">
                  <c:v>0</c:v>
                </c:pt>
                <c:pt idx="2" formatCode="General">
                  <c:v>0</c:v>
                </c:pt>
                <c:pt idx="3">
                  <c:v>513.70976240033042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B-BE82-A744-99DA-3605E7FFE87A}"/>
            </c:ext>
          </c:extLst>
        </c:ser>
        <c:ser>
          <c:idx val="38"/>
          <c:order val="38"/>
          <c:tx>
            <c:strRef>
              <c:f>'Fig D1-2 - NMC-Ni'!$A$41</c:f>
              <c:strCache>
                <c:ptCount val="1"/>
                <c:pt idx="0">
                  <c:v>France_France_China</c:v>
                </c:pt>
              </c:strCache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D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NMC-Ni'!$B$41:$E$41</c:f>
              <c:numCache>
                <c:formatCode>0.00</c:formatCode>
                <c:ptCount val="4"/>
                <c:pt idx="0">
                  <c:v>53.27922883743409</c:v>
                </c:pt>
                <c:pt idx="1">
                  <c:v>0</c:v>
                </c:pt>
                <c:pt idx="2" formatCode="General">
                  <c:v>0</c:v>
                </c:pt>
                <c:pt idx="3">
                  <c:v>53.27922883743409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E-BE82-A744-99DA-3605E7FFE87A}"/>
            </c:ext>
          </c:extLst>
        </c:ser>
        <c:ser>
          <c:idx val="39"/>
          <c:order val="39"/>
          <c:tx>
            <c:strRef>
              <c:f>'Fig D1-2 - NMC-Ni'!$A$42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0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NMC-Ni'!$B$42:$E$42</c:f>
              <c:numCache>
                <c:formatCode>0.00</c:formatCode>
                <c:ptCount val="4"/>
                <c:pt idx="0">
                  <c:v>43.459635169099698</c:v>
                </c:pt>
                <c:pt idx="1">
                  <c:v>0</c:v>
                </c:pt>
                <c:pt idx="2" formatCode="General">
                  <c:v>0</c:v>
                </c:pt>
                <c:pt idx="3">
                  <c:v>43.459635169099698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1-BE82-A744-99DA-3605E7FFE87A}"/>
            </c:ext>
          </c:extLst>
        </c:ser>
        <c:ser>
          <c:idx val="40"/>
          <c:order val="40"/>
          <c:tx>
            <c:strRef>
              <c:f>'Fig D1-2 - NMC-Ni'!$A$44</c:f>
              <c:strCache>
                <c:ptCount val="1"/>
                <c:pt idx="0">
                  <c:v>NewCaledonia_China_Japan</c:v>
                </c:pt>
              </c:strCache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3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NMC-Ni'!$B$44:$E$44</c:f>
              <c:numCache>
                <c:formatCode>0.00</c:formatCode>
                <c:ptCount val="4"/>
                <c:pt idx="0">
                  <c:v>14.559692706945436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14.559692706945436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4-BE82-A744-99DA-3605E7FFE87A}"/>
            </c:ext>
          </c:extLst>
        </c:ser>
        <c:ser>
          <c:idx val="41"/>
          <c:order val="41"/>
          <c:tx>
            <c:strRef>
              <c:f>'Fig D1-2 - NMC-Ni'!$A$45</c:f>
              <c:strCache>
                <c:ptCount val="1"/>
                <c:pt idx="0">
                  <c:v>Indonesia_China_Japan</c:v>
                </c:pt>
              </c:strCache>
            </c:strRef>
          </c:tx>
          <c:spPr>
            <a:solidFill>
              <a:srgbClr val="53C55E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6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NMC-Ni'!$B$45:$E$45</c:f>
              <c:numCache>
                <c:formatCode>0.00</c:formatCode>
                <c:ptCount val="4"/>
                <c:pt idx="0">
                  <c:v>18.475565639955921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18.475565639955921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7-BE82-A744-99DA-3605E7FFE87A}"/>
            </c:ext>
          </c:extLst>
        </c:ser>
        <c:ser>
          <c:idx val="42"/>
          <c:order val="42"/>
          <c:tx>
            <c:strRef>
              <c:f>'Fig D1-2 - NMC-Ni'!$A$46</c:f>
              <c:strCache>
                <c:ptCount val="1"/>
                <c:pt idx="0">
                  <c:v>Australia_China_Japan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9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NMC-Ni'!$B$46:$E$46</c:f>
              <c:numCache>
                <c:formatCode>0.00</c:formatCode>
                <c:ptCount val="4"/>
                <c:pt idx="0">
                  <c:v>1.2863168457999481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1.2863168457999481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A-BE82-A744-99DA-3605E7FFE87A}"/>
            </c:ext>
          </c:extLst>
        </c:ser>
        <c:ser>
          <c:idx val="43"/>
          <c:order val="43"/>
          <c:tx>
            <c:strRef>
              <c:f>'Fig D1-2 - NMC-Ni'!$A$47</c:f>
              <c:strCache>
                <c:ptCount val="1"/>
                <c:pt idx="0">
                  <c:v>Russia_China_Japan</c:v>
                </c:pt>
              </c:strCache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C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NMC-Ni'!$B$47:$E$47</c:f>
              <c:numCache>
                <c:formatCode>0.00</c:formatCode>
                <c:ptCount val="4"/>
                <c:pt idx="0">
                  <c:v>0.69065260534185469</c:v>
                </c:pt>
                <c:pt idx="1">
                  <c:v>0</c:v>
                </c:pt>
                <c:pt idx="2" formatCode="General">
                  <c:v>0</c:v>
                </c:pt>
                <c:pt idx="3">
                  <c:v>0.69065260534185469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D-BE82-A744-99DA-3605E7FFE87A}"/>
            </c:ext>
          </c:extLst>
        </c:ser>
        <c:ser>
          <c:idx val="44"/>
          <c:order val="44"/>
          <c:tx>
            <c:strRef>
              <c:f>'Fig D1-2 - NMC-Ni'!$A$48</c:f>
              <c:strCache>
                <c:ptCount val="1"/>
                <c:pt idx="0">
                  <c:v>Brazil_China_Japan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F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NMC-Ni'!$B$48:$E$48</c:f>
              <c:numCache>
                <c:formatCode>0.00</c:formatCode>
                <c:ptCount val="4"/>
                <c:pt idx="0">
                  <c:v>0.2616593991779444</c:v>
                </c:pt>
                <c:pt idx="1">
                  <c:v>0</c:v>
                </c:pt>
                <c:pt idx="2" formatCode="General">
                  <c:v>0</c:v>
                </c:pt>
                <c:pt idx="3">
                  <c:v>0.2616593991779444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0-BE82-A744-99DA-3605E7FFE87A}"/>
            </c:ext>
          </c:extLst>
        </c:ser>
        <c:ser>
          <c:idx val="45"/>
          <c:order val="45"/>
          <c:tx>
            <c:strRef>
              <c:f>'Fig D1-2 - NMC-Ni'!$A$49</c:f>
              <c:strCache>
                <c:ptCount val="1"/>
                <c:pt idx="0">
                  <c:v>China_SK_Japan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2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NMC-Ni'!$B$49:$E$49</c:f>
              <c:numCache>
                <c:formatCode>0.00</c:formatCode>
                <c:ptCount val="4"/>
                <c:pt idx="0">
                  <c:v>1.0207885842763866E-2</c:v>
                </c:pt>
                <c:pt idx="1">
                  <c:v>0</c:v>
                </c:pt>
                <c:pt idx="2" formatCode="General">
                  <c:v>0</c:v>
                </c:pt>
                <c:pt idx="3">
                  <c:v>1.0207885842763866E-2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3-BE82-A744-99DA-3605E7FFE87A}"/>
            </c:ext>
          </c:extLst>
        </c:ser>
        <c:ser>
          <c:idx val="46"/>
          <c:order val="46"/>
          <c:tx>
            <c:strRef>
              <c:f>'Fig D1-2 - NMC-Ni'!$A$50</c:f>
              <c:strCache>
                <c:ptCount val="1"/>
                <c:pt idx="0">
                  <c:v>NewCaledonia_SK_Japan</c:v>
                </c:pt>
              </c:strCache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5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NMC-Ni'!$B$50:$E$50</c:f>
              <c:numCache>
                <c:formatCode>0.00</c:formatCode>
                <c:ptCount val="4"/>
                <c:pt idx="0">
                  <c:v>1360.4889602589249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1360.4889602589249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6-BE82-A744-99DA-3605E7FFE87A}"/>
            </c:ext>
          </c:extLst>
        </c:ser>
        <c:ser>
          <c:idx val="47"/>
          <c:order val="47"/>
          <c:tx>
            <c:strRef>
              <c:f>'Fig D1-2 - NMC-Ni'!$A$51</c:f>
              <c:strCache>
                <c:ptCount val="1"/>
                <c:pt idx="0">
                  <c:v>Norway_Norway_Japan</c:v>
                </c:pt>
              </c:strCache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8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NMC-Ni'!$B$51:$E$51</c:f>
              <c:numCache>
                <c:formatCode>0.00</c:formatCode>
                <c:ptCount val="4"/>
                <c:pt idx="0">
                  <c:v>1881.8741360629804</c:v>
                </c:pt>
                <c:pt idx="1">
                  <c:v>0</c:v>
                </c:pt>
                <c:pt idx="2" formatCode="General">
                  <c:v>0</c:v>
                </c:pt>
                <c:pt idx="3">
                  <c:v>1881.8741360629804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9-BE82-A744-99DA-3605E7FFE87A}"/>
            </c:ext>
          </c:extLst>
        </c:ser>
        <c:ser>
          <c:idx val="48"/>
          <c:order val="48"/>
          <c:tx>
            <c:strRef>
              <c:f>'Fig D1-2 - NMC-Ni'!$A$52</c:f>
              <c:strCache>
                <c:ptCount val="1"/>
                <c:pt idx="0">
                  <c:v>Canada_Finland_Japan</c:v>
                </c:pt>
              </c:strCache>
            </c:strRef>
          </c:tx>
          <c:spPr>
            <a:solidFill>
              <a:srgbClr val="8AFF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B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NMC-Ni'!$B$52:$E$52</c:f>
              <c:numCache>
                <c:formatCode>0.00</c:formatCode>
                <c:ptCount val="4"/>
                <c:pt idx="0" formatCode="General">
                  <c:v>2681.6709011436628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2681.6709011436628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C-BE82-A744-99DA-3605E7FFE87A}"/>
            </c:ext>
          </c:extLst>
        </c:ser>
        <c:ser>
          <c:idx val="49"/>
          <c:order val="49"/>
          <c:tx>
            <c:strRef>
              <c:f>'Fig D1-2 - NMC-Ni'!$A$53</c:f>
              <c:strCache>
                <c:ptCount val="1"/>
                <c:pt idx="0">
                  <c:v>UK_UK_Japan</c:v>
                </c:pt>
              </c:strCache>
            </c:strRef>
          </c:tx>
          <c:spPr>
            <a:solidFill>
              <a:srgbClr val="9E9E9E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E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NMC-Ni'!$B$53:$E$53</c:f>
              <c:numCache>
                <c:formatCode>0.00</c:formatCode>
                <c:ptCount val="4"/>
                <c:pt idx="0" formatCode="General">
                  <c:v>1170.3226672603982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1170.3226672603982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F-BE82-A744-99DA-3605E7FFE87A}"/>
            </c:ext>
          </c:extLst>
        </c:ser>
        <c:ser>
          <c:idx val="50"/>
          <c:order val="50"/>
          <c:tx>
            <c:strRef>
              <c:f>'Fig D1-2 - NMC-Ni'!$A$54</c:f>
              <c:strCache>
                <c:ptCount val="1"/>
                <c:pt idx="0">
                  <c:v>Brazil_SouthAfrica_Japan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1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NMC-Ni'!$B$54:$E$54</c:f>
              <c:numCache>
                <c:formatCode>0.00</c:formatCode>
                <c:ptCount val="4"/>
                <c:pt idx="0" formatCode="General">
                  <c:v>917.90769747627144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917.90769747627144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2-BE82-A744-99DA-3605E7FFE87A}"/>
            </c:ext>
          </c:extLst>
        </c:ser>
        <c:ser>
          <c:idx val="51"/>
          <c:order val="51"/>
          <c:tx>
            <c:strRef>
              <c:f>'Fig D1-2 - NMC-Ni'!$A$55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4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NMC-Ni'!$B$55:$E$55</c:f>
              <c:numCache>
                <c:formatCode>0.00</c:formatCode>
                <c:ptCount val="4"/>
                <c:pt idx="0">
                  <c:v>112.25618854436752</c:v>
                </c:pt>
                <c:pt idx="1">
                  <c:v>0</c:v>
                </c:pt>
                <c:pt idx="2" formatCode="General">
                  <c:v>0</c:v>
                </c:pt>
                <c:pt idx="3">
                  <c:v>112.25618854436752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5-BE82-A744-99DA-3605E7FFE87A}"/>
            </c:ext>
          </c:extLst>
        </c:ser>
        <c:ser>
          <c:idx val="52"/>
          <c:order val="52"/>
          <c:tx>
            <c:strRef>
              <c:f>'Fig D1-2 - NMC-Ni'!$A$56</c:f>
              <c:strCache>
                <c:ptCount val="1"/>
                <c:pt idx="0">
                  <c:v>Philippines_China_SK</c:v>
                </c:pt>
              </c:strCache>
            </c:strRef>
          </c:tx>
          <c:spPr>
            <a:solidFill>
              <a:srgbClr val="FFD580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96-BE82-A744-99DA-3605E7FFE87A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8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NMC-Ni'!$B$56:$E$56</c:f>
              <c:numCache>
                <c:formatCode>0.00</c:formatCode>
                <c:ptCount val="4"/>
                <c:pt idx="0">
                  <c:v>448.81035460138241</c:v>
                </c:pt>
                <c:pt idx="1">
                  <c:v>0</c:v>
                </c:pt>
                <c:pt idx="2" formatCode="General">
                  <c:v>0</c:v>
                </c:pt>
                <c:pt idx="3">
                  <c:v>448.81035460138241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9-BE82-A744-99DA-3605E7FFE87A}"/>
            </c:ext>
          </c:extLst>
        </c:ser>
        <c:ser>
          <c:idx val="53"/>
          <c:order val="53"/>
          <c:tx>
            <c:strRef>
              <c:f>'Fig D1-2 - NMC-Ni'!$A$57</c:f>
              <c:strCache>
                <c:ptCount val="1"/>
                <c:pt idx="0">
                  <c:v>NewCaledonia_China_SK</c:v>
                </c:pt>
              </c:strCache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B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NMC-Ni'!$B$57:$E$57</c:f>
              <c:numCache>
                <c:formatCode>0.00</c:formatCode>
                <c:ptCount val="4"/>
                <c:pt idx="0">
                  <c:v>37.607669813597695</c:v>
                </c:pt>
                <c:pt idx="1">
                  <c:v>0</c:v>
                </c:pt>
                <c:pt idx="2" formatCode="General">
                  <c:v>0</c:v>
                </c:pt>
                <c:pt idx="3">
                  <c:v>37.607669813597695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C-BE82-A744-99DA-3605E7FFE87A}"/>
            </c:ext>
          </c:extLst>
        </c:ser>
        <c:ser>
          <c:idx val="54"/>
          <c:order val="54"/>
          <c:tx>
            <c:strRef>
              <c:f>'Fig D1-2 - NMC-Ni'!$A$58</c:f>
              <c:strCache>
                <c:ptCount val="1"/>
                <c:pt idx="0">
                  <c:v>Indonesia_China_SK</c:v>
                </c:pt>
              </c:strCache>
            </c:strRef>
          </c:tx>
          <c:spPr>
            <a:solidFill>
              <a:srgbClr val="53C55E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E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NMC-Ni'!$B$58:$E$58</c:f>
              <c:numCache>
                <c:formatCode>0.00</c:formatCode>
                <c:ptCount val="4"/>
                <c:pt idx="0">
                  <c:v>47.722365175705967</c:v>
                </c:pt>
                <c:pt idx="1">
                  <c:v>0</c:v>
                </c:pt>
                <c:pt idx="2" formatCode="General">
                  <c:v>0</c:v>
                </c:pt>
                <c:pt idx="3">
                  <c:v>47.722365175705967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F-BE82-A744-99DA-3605E7FFE87A}"/>
            </c:ext>
          </c:extLst>
        </c:ser>
        <c:ser>
          <c:idx val="55"/>
          <c:order val="55"/>
          <c:tx>
            <c:strRef>
              <c:f>'Fig D1-2 - NMC-Ni'!$A$59</c:f>
              <c:strCache>
                <c:ptCount val="1"/>
                <c:pt idx="0">
                  <c:v>Australia_China_SK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1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NMC-Ni'!$B$59:$E$59</c:f>
              <c:numCache>
                <c:formatCode>0.00</c:formatCode>
                <c:ptCount val="4"/>
                <c:pt idx="0">
                  <c:v>3.3225549595175399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3.3225549595175399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2-BE82-A744-99DA-3605E7FFE87A}"/>
            </c:ext>
          </c:extLst>
        </c:ser>
        <c:ser>
          <c:idx val="56"/>
          <c:order val="56"/>
          <c:tx>
            <c:strRef>
              <c:f>'Fig D1-2 - NMC-Ni'!$A$60</c:f>
              <c:strCache>
                <c:ptCount val="1"/>
                <c:pt idx="0">
                  <c:v>Russia_China_SK</c:v>
                </c:pt>
              </c:strCache>
            </c:strRef>
          </c:tx>
          <c:spPr>
            <a:solidFill>
              <a:srgbClr val="B7B7B7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4-BE82-A744-99DA-3605E7FFE87A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A5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NMC-Ni'!$B$60:$E$60</c:f>
              <c:numCache>
                <c:formatCode>0.00</c:formatCode>
                <c:ptCount val="4"/>
                <c:pt idx="0">
                  <c:v>1.7839548993508034</c:v>
                </c:pt>
                <c:pt idx="1">
                  <c:v>0</c:v>
                </c:pt>
                <c:pt idx="2" formatCode="General">
                  <c:v>0</c:v>
                </c:pt>
                <c:pt idx="3">
                  <c:v>1.7839548993508034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6-BE82-A744-99DA-3605E7FFE87A}"/>
            </c:ext>
          </c:extLst>
        </c:ser>
        <c:ser>
          <c:idx val="57"/>
          <c:order val="57"/>
          <c:tx>
            <c:strRef>
              <c:f>'Fig D1-2 - NMC-Ni'!$A$61</c:f>
              <c:strCache>
                <c:ptCount val="1"/>
                <c:pt idx="0">
                  <c:v>Brazil_China_SK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8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NMC-Ni'!$B$61:$E$61</c:f>
              <c:numCache>
                <c:formatCode>0.00</c:formatCode>
                <c:ptCount val="4"/>
                <c:pt idx="0">
                  <c:v>0.67586593247358207</c:v>
                </c:pt>
                <c:pt idx="1">
                  <c:v>0</c:v>
                </c:pt>
                <c:pt idx="2" formatCode="General">
                  <c:v>0</c:v>
                </c:pt>
                <c:pt idx="3">
                  <c:v>0.67586593247358207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9-BE82-A744-99DA-3605E7FFE87A}"/>
            </c:ext>
          </c:extLst>
        </c:ser>
        <c:ser>
          <c:idx val="58"/>
          <c:order val="58"/>
          <c:tx>
            <c:strRef>
              <c:f>'Fig D1-2 - NMC-Ni'!$A$62</c:f>
              <c:strCache>
                <c:ptCount val="1"/>
                <c:pt idx="0">
                  <c:v>China_SK_SK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B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NMC-Ni'!$B$62:$E$62</c:f>
              <c:numCache>
                <c:formatCode>0.00</c:formatCode>
                <c:ptCount val="4"/>
                <c:pt idx="0">
                  <c:v>2.5390149920015016E-2</c:v>
                </c:pt>
                <c:pt idx="1">
                  <c:v>0</c:v>
                </c:pt>
                <c:pt idx="2" formatCode="General">
                  <c:v>0</c:v>
                </c:pt>
                <c:pt idx="3">
                  <c:v>2.5390149920015016E-2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C-BE82-A744-99DA-3605E7FFE87A}"/>
            </c:ext>
          </c:extLst>
        </c:ser>
        <c:ser>
          <c:idx val="59"/>
          <c:order val="59"/>
          <c:tx>
            <c:strRef>
              <c:f>'Fig D1-2 - NMC-Ni'!$A$63</c:f>
              <c:strCache>
                <c:ptCount val="1"/>
                <c:pt idx="0">
                  <c:v>NewCaledonia_SK_SK</c:v>
                </c:pt>
              </c:strCache>
            </c:strRef>
          </c:tx>
          <c:spPr>
            <a:solidFill>
              <a:srgbClr val="DD7E6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E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NMC-Ni'!$B$63:$E$63</c:f>
              <c:numCache>
                <c:formatCode>0.00</c:formatCode>
                <c:ptCount val="4"/>
                <c:pt idx="0">
                  <c:v>3383.9542484682274</c:v>
                </c:pt>
                <c:pt idx="1">
                  <c:v>0</c:v>
                </c:pt>
                <c:pt idx="2" formatCode="General">
                  <c:v>0</c:v>
                </c:pt>
                <c:pt idx="3">
                  <c:v>3383.9542484682274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F-BE82-A744-99DA-3605E7FFE87A}"/>
            </c:ext>
          </c:extLst>
        </c:ser>
        <c:ser>
          <c:idx val="60"/>
          <c:order val="60"/>
          <c:tx>
            <c:strRef>
              <c:f>'Fig D1-2 - NMC-Ni'!$A$64</c:f>
              <c:strCache>
                <c:ptCount val="1"/>
                <c:pt idx="0">
                  <c:v>Norway_Norway_SK</c:v>
                </c:pt>
              </c:strCache>
            </c:strRef>
          </c:tx>
          <c:spPr>
            <a:solidFill>
              <a:srgbClr val="3D85C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1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NMC-Ni'!$B$64:$E$64</c:f>
              <c:numCache>
                <c:formatCode>0.00</c:formatCode>
                <c:ptCount val="4"/>
                <c:pt idx="0" formatCode="General">
                  <c:v>3139.2503819275903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3139.2503819275903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2-BE82-A744-99DA-3605E7FFE87A}"/>
            </c:ext>
          </c:extLst>
        </c:ser>
        <c:ser>
          <c:idx val="61"/>
          <c:order val="61"/>
          <c:tx>
            <c:strRef>
              <c:f>'Fig D1-2 - NMC-Ni'!$A$65</c:f>
              <c:strCache>
                <c:ptCount val="1"/>
                <c:pt idx="0">
                  <c:v>Canada_Finland_SK</c:v>
                </c:pt>
              </c:strCache>
            </c:strRef>
          </c:tx>
          <c:spPr>
            <a:solidFill>
              <a:srgbClr val="8AFF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4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NMC-Ni'!$B$65:$E$65</c:f>
              <c:numCache>
                <c:formatCode>0.00</c:formatCode>
                <c:ptCount val="4"/>
                <c:pt idx="0" formatCode="General">
                  <c:v>6308.951476123726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6308.951476123726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5-BE82-A744-99DA-3605E7FFE87A}"/>
            </c:ext>
          </c:extLst>
        </c:ser>
        <c:ser>
          <c:idx val="62"/>
          <c:order val="62"/>
          <c:tx>
            <c:strRef>
              <c:f>'Fig D1-2 - NMC-Ni'!$A$66</c:f>
              <c:strCache>
                <c:ptCount val="1"/>
                <c:pt idx="0">
                  <c:v>UK_UK_SK</c:v>
                </c:pt>
              </c:strCache>
            </c:strRef>
          </c:tx>
          <c:spPr>
            <a:solidFill>
              <a:srgbClr val="9E9E9E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7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NMC-Ni'!$B$66:$E$66</c:f>
              <c:numCache>
                <c:formatCode>0.00</c:formatCode>
                <c:ptCount val="4"/>
                <c:pt idx="0" formatCode="General">
                  <c:v>212.76810413122573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212.76810413122573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8-BE82-A744-99DA-3605E7FFE87A}"/>
            </c:ext>
          </c:extLst>
        </c:ser>
        <c:ser>
          <c:idx val="63"/>
          <c:order val="63"/>
          <c:tx>
            <c:strRef>
              <c:f>'Fig D1-2 - NMC-Ni'!$A$67</c:f>
              <c:strCache>
                <c:ptCount val="1"/>
                <c:pt idx="0">
                  <c:v>Brazil_SouthAfrica_SK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A-BE82-A744-99DA-3605E7FFE87A}"/>
              </c:ext>
            </c:extLst>
          </c:dPt>
          <c:cat>
            <c:strRef>
              <c:f>'Fig D1-2 - NMC-Ni'!$B$2:$E$2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NMC-Ni'!$B$67:$E$67</c:f>
              <c:numCache>
                <c:formatCode>0.00</c:formatCode>
                <c:ptCount val="4"/>
                <c:pt idx="0" formatCode="General">
                  <c:v>77.477495272916329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77.477495272916329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B-BE82-A744-99DA-3605E7FF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441239812"/>
        <c:axId val="489442094"/>
      </c:barChart>
      <c:catAx>
        <c:axId val="14412398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89442094"/>
        <c:crosses val="autoZero"/>
        <c:auto val="1"/>
        <c:lblAlgn val="ctr"/>
        <c:lblOffset val="100"/>
        <c:noMultiLvlLbl val="1"/>
      </c:catAx>
      <c:valAx>
        <c:axId val="48944209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41239812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D1-2 - NMC-Ni'!$S$3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NMC-Ni'!$T$3:$W$3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28826.657369999899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50A-164B-8BF2-55E24C881904}"/>
            </c:ext>
          </c:extLst>
        </c:ser>
        <c:ser>
          <c:idx val="1"/>
          <c:order val="1"/>
          <c:tx>
            <c:strRef>
              <c:f>'Fig D1-2 - NMC-Ni'!$S$4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NMC-Ni'!$T$4:$W$4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8264.7636290099999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50A-164B-8BF2-55E24C881904}"/>
            </c:ext>
          </c:extLst>
        </c:ser>
        <c:ser>
          <c:idx val="2"/>
          <c:order val="2"/>
          <c:tx>
            <c:strRef>
              <c:f>'Fig D1-2 - NMC-Ni'!$S$5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NMC-Ni'!$T$5:$W$5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13774.276048350001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50A-164B-8BF2-55E24C881904}"/>
            </c:ext>
          </c:extLst>
        </c:ser>
        <c:ser>
          <c:idx val="3"/>
          <c:order val="3"/>
          <c:tx>
            <c:strRef>
              <c:f>'Fig D1-2 - NMC-Ni'!$S$6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NMC-Ni'!$T$6:$W$6</c:f>
              <c:numCache>
                <c:formatCode>0.00</c:formatCode>
                <c:ptCount val="4"/>
                <c:pt idx="0">
                  <c:v>0</c:v>
                </c:pt>
                <c:pt idx="1">
                  <c:v>28826.657369999899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50A-164B-8BF2-55E24C881904}"/>
            </c:ext>
          </c:extLst>
        </c:ser>
        <c:ser>
          <c:idx val="4"/>
          <c:order val="4"/>
          <c:tx>
            <c:strRef>
              <c:f>'Fig D1-2 - NMC-Ni'!$S$7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NMC-Ni'!$T$7:$W$7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491.06900000000002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50A-164B-8BF2-55E24C881904}"/>
            </c:ext>
          </c:extLst>
        </c:ser>
        <c:ser>
          <c:idx val="5"/>
          <c:order val="5"/>
          <c:tx>
            <c:strRef>
              <c:f>'Fig D1-2 - NMC-Ni'!$S$8</c:f>
              <c:strCache>
                <c:ptCount val="1"/>
                <c:pt idx="0">
                  <c:v>Finland_Japan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NMC-Ni'!$T$8:$W$8</c:f>
              <c:numCache>
                <c:formatCode>0.00</c:formatCode>
                <c:ptCount val="4"/>
                <c:pt idx="0">
                  <c:v>0</c:v>
                </c:pt>
                <c:pt idx="1">
                  <c:v>2329.6246290099998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250A-164B-8BF2-55E24C881904}"/>
            </c:ext>
          </c:extLst>
        </c:ser>
        <c:ser>
          <c:idx val="6"/>
          <c:order val="6"/>
          <c:tx>
            <c:strRef>
              <c:f>'Fig D1-2 - NMC-Ni'!$S$9</c:f>
              <c:strCache>
                <c:ptCount val="1"/>
                <c:pt idx="0">
                  <c:v>SK_Japan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NMC-Ni'!$T$9:$W$9</c:f>
              <c:numCache>
                <c:formatCode>0.00</c:formatCode>
                <c:ptCount val="4"/>
                <c:pt idx="0">
                  <c:v>0</c:v>
                </c:pt>
                <c:pt idx="1">
                  <c:v>5444.07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250A-164B-8BF2-55E24C881904}"/>
            </c:ext>
          </c:extLst>
        </c:ser>
        <c:ser>
          <c:idx val="7"/>
          <c:order val="7"/>
          <c:tx>
            <c:strRef>
              <c:f>'Fig D1-2 - NMC-Ni'!$S$10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NMC-Ni'!$T$10:$W$10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773.75099999999998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250A-164B-8BF2-55E24C881904}"/>
            </c:ext>
          </c:extLst>
        </c:ser>
        <c:ser>
          <c:idx val="8"/>
          <c:order val="8"/>
          <c:tx>
            <c:strRef>
              <c:f>'Fig D1-2 - NMC-Ni'!$S$11</c:f>
              <c:strCache>
                <c:ptCount val="1"/>
                <c:pt idx="0">
                  <c:v>Norway_SK</c:v>
                </c:pt>
              </c:strCache>
            </c:strRef>
          </c:tx>
          <c:spPr>
            <a:solidFill>
              <a:srgbClr val="3D85C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NMC-Ni'!$T$11:$W$11</c:f>
              <c:numCache>
                <c:formatCode>0.00</c:formatCode>
                <c:ptCount val="4"/>
                <c:pt idx="0">
                  <c:v>0</c:v>
                </c:pt>
                <c:pt idx="1">
                  <c:v>1500.7440483500006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250A-164B-8BF2-55E24C881904}"/>
            </c:ext>
          </c:extLst>
        </c:ser>
        <c:ser>
          <c:idx val="9"/>
          <c:order val="9"/>
          <c:tx>
            <c:strRef>
              <c:f>'Fig D1-2 - NMC-Ni'!$S$12</c:f>
              <c:strCache>
                <c:ptCount val="1"/>
                <c:pt idx="0">
                  <c:v>Finland_SK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2-250A-164B-8BF2-55E24C8819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NMC-Ni'!$T$12:$W$12</c:f>
              <c:numCache>
                <c:formatCode>0.00</c:formatCode>
                <c:ptCount val="4"/>
                <c:pt idx="0">
                  <c:v>0</c:v>
                </c:pt>
                <c:pt idx="1">
                  <c:v>7484.9970000000003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250A-164B-8BF2-55E24C881904}"/>
            </c:ext>
          </c:extLst>
        </c:ser>
        <c:ser>
          <c:idx val="10"/>
          <c:order val="10"/>
          <c:tx>
            <c:strRef>
              <c:f>'Fig D1-2 - NMC-Ni'!$S$13</c:f>
              <c:strCache>
                <c:ptCount val="1"/>
                <c:pt idx="0">
                  <c:v>SK_SK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250A-164B-8BF2-55E24C881904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250A-164B-8BF2-55E24C8819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9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NMC-Ni'!$T$13:$W$13</c:f>
              <c:numCache>
                <c:formatCode>0.00</c:formatCode>
                <c:ptCount val="4"/>
                <c:pt idx="0">
                  <c:v>0</c:v>
                </c:pt>
                <c:pt idx="1">
                  <c:v>4014.7840000000001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250A-164B-8BF2-55E24C881904}"/>
            </c:ext>
          </c:extLst>
        </c:ser>
        <c:ser>
          <c:idx val="11"/>
          <c:order val="11"/>
          <c:tx>
            <c:strRef>
              <c:f>'Fig D1-2 - NMC-Ni'!$S$14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C-250A-164B-8BF2-55E24C881904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250A-164B-8BF2-55E24C8819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NMC-Ni'!$T$14:$W$14</c:f>
              <c:numCache>
                <c:formatCode>0.00</c:formatCode>
                <c:ptCount val="4"/>
                <c:pt idx="0">
                  <c:v>28826.657369999899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28826.657369999899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250A-164B-8BF2-55E24C881904}"/>
            </c:ext>
          </c:extLst>
        </c:ser>
        <c:ser>
          <c:idx val="12"/>
          <c:order val="12"/>
          <c:tx>
            <c:strRef>
              <c:f>'Fig D1-2 - NMC-Ni'!$S$15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22-250A-164B-8BF2-55E24C8819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NMC-Ni'!$T$15:$W$15</c:f>
              <c:numCache>
                <c:formatCode>0.00</c:formatCode>
                <c:ptCount val="4"/>
                <c:pt idx="0" formatCode="General">
                  <c:v>491.06900000000002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491.06900000000002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5-250A-164B-8BF2-55E24C881904}"/>
            </c:ext>
          </c:extLst>
        </c:ser>
        <c:ser>
          <c:idx val="13"/>
          <c:order val="13"/>
          <c:tx>
            <c:strRef>
              <c:f>'Fig D1-2 - NMC-Ni'!$S$16</c:f>
              <c:strCache>
                <c:ptCount val="1"/>
                <c:pt idx="0">
                  <c:v>Canada_Finland_Japan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NMC-Ni'!$T$16:$W$16</c:f>
              <c:numCache>
                <c:formatCode>0.00</c:formatCode>
                <c:ptCount val="4"/>
                <c:pt idx="0">
                  <c:v>1464.39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1464.39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250A-164B-8BF2-55E24C881904}"/>
            </c:ext>
          </c:extLst>
        </c:ser>
        <c:ser>
          <c:idx val="14"/>
          <c:order val="14"/>
          <c:tx>
            <c:strRef>
              <c:f>'Fig D1-2 - NMC-Ni'!$S$17</c:f>
              <c:strCache>
                <c:ptCount val="1"/>
                <c:pt idx="0">
                  <c:v>Uncertain_Finland_Japan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9-250A-164B-8BF2-55E24C8819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NMC-Ni'!$T$17:$W$17</c:f>
              <c:numCache>
                <c:formatCode>0.00</c:formatCode>
                <c:ptCount val="4"/>
                <c:pt idx="0">
                  <c:v>865.23462900999994</c:v>
                </c:pt>
                <c:pt idx="1">
                  <c:v>0</c:v>
                </c:pt>
                <c:pt idx="2" formatCode="General">
                  <c:v>0</c:v>
                </c:pt>
                <c:pt idx="3">
                  <c:v>865.23462900999994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250A-164B-8BF2-55E24C881904}"/>
            </c:ext>
          </c:extLst>
        </c:ser>
        <c:ser>
          <c:idx val="15"/>
          <c:order val="15"/>
          <c:tx>
            <c:strRef>
              <c:f>'Fig D1-2 - NMC-Ni'!$S$18</c:f>
              <c:strCache>
                <c:ptCount val="1"/>
                <c:pt idx="0">
                  <c:v>NewCaledonia_SK_Japan</c:v>
                </c:pt>
              </c:strCache>
            </c:strRef>
          </c:tx>
          <c:spPr>
            <a:solidFill>
              <a:srgbClr val="DD7E6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D-250A-164B-8BF2-55E24C8819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NMC-Ni'!$T$18:$W$18</c:f>
              <c:numCache>
                <c:formatCode>0.00</c:formatCode>
                <c:ptCount val="4"/>
                <c:pt idx="0">
                  <c:v>5444.07</c:v>
                </c:pt>
                <c:pt idx="1">
                  <c:v>0</c:v>
                </c:pt>
                <c:pt idx="2" formatCode="General">
                  <c:v>0</c:v>
                </c:pt>
                <c:pt idx="3">
                  <c:v>5444.07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250A-164B-8BF2-55E24C881904}"/>
            </c:ext>
          </c:extLst>
        </c:ser>
        <c:ser>
          <c:idx val="16"/>
          <c:order val="16"/>
          <c:tx>
            <c:strRef>
              <c:f>'Fig D1-2 - NMC-Ni'!$S$19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32-250A-164B-8BF2-55E24C8819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4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NMC-Ni'!$T$19:$W$19</c:f>
              <c:numCache>
                <c:formatCode>0.00</c:formatCode>
                <c:ptCount val="4"/>
                <c:pt idx="0" formatCode="General">
                  <c:v>773.75099999999998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773.75099999999998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5-250A-164B-8BF2-55E24C881904}"/>
            </c:ext>
          </c:extLst>
        </c:ser>
        <c:ser>
          <c:idx val="17"/>
          <c:order val="17"/>
          <c:tx>
            <c:strRef>
              <c:f>'Fig D1-2 - NMC-Ni'!$S$20</c:f>
              <c:strCache>
                <c:ptCount val="1"/>
                <c:pt idx="0">
                  <c:v>Uncertain_Norway_SK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250A-164B-8BF2-55E24C8819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8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NMC-Ni'!$T$20:$W$20</c:f>
              <c:numCache>
                <c:formatCode>0.00</c:formatCode>
                <c:ptCount val="4"/>
                <c:pt idx="0">
                  <c:v>1500.7440483500006</c:v>
                </c:pt>
                <c:pt idx="1">
                  <c:v>0</c:v>
                </c:pt>
                <c:pt idx="2" formatCode="General">
                  <c:v>0</c:v>
                </c:pt>
                <c:pt idx="3">
                  <c:v>1500.7440483500006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9-250A-164B-8BF2-55E24C881904}"/>
            </c:ext>
          </c:extLst>
        </c:ser>
        <c:ser>
          <c:idx val="18"/>
          <c:order val="18"/>
          <c:tx>
            <c:strRef>
              <c:f>'Fig D1-2 - NMC-Ni'!$S$21</c:f>
              <c:strCache>
                <c:ptCount val="1"/>
                <c:pt idx="0">
                  <c:v>Uncertain_Finland_SK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B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NMC-Ni'!$T$21:$W$21</c:f>
              <c:numCache>
                <c:formatCode>0.00</c:formatCode>
                <c:ptCount val="4"/>
                <c:pt idx="0">
                  <c:v>7484.9970000000003</c:v>
                </c:pt>
                <c:pt idx="1">
                  <c:v>0</c:v>
                </c:pt>
                <c:pt idx="2" formatCode="General">
                  <c:v>0</c:v>
                </c:pt>
                <c:pt idx="3">
                  <c:v>7484.9970000000003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C-250A-164B-8BF2-55E24C881904}"/>
            </c:ext>
          </c:extLst>
        </c:ser>
        <c:ser>
          <c:idx val="19"/>
          <c:order val="19"/>
          <c:tx>
            <c:strRef>
              <c:f>'Fig D1-2 - NMC-Ni'!$S$22</c:f>
              <c:strCache>
                <c:ptCount val="1"/>
                <c:pt idx="0">
                  <c:v>NewCaledonia_SK_SK</c:v>
                </c:pt>
              </c:strCache>
            </c:strRef>
          </c:tx>
          <c:spPr>
            <a:solidFill>
              <a:srgbClr val="DD7E6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NMC-Ni'!$T$22:$W$22</c:f>
              <c:numCache>
                <c:formatCode>0.00</c:formatCode>
                <c:ptCount val="4"/>
                <c:pt idx="0">
                  <c:v>4014.7840000000001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4014.7840000000001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F-250A-164B-8BF2-55E24C881904}"/>
            </c:ext>
          </c:extLst>
        </c:ser>
        <c:ser>
          <c:idx val="20"/>
          <c:order val="20"/>
          <c:tx>
            <c:strRef>
              <c:f>'Fig D1-2 - NMC-Ni'!$S$23</c:f>
              <c:strCache>
                <c:ptCount val="1"/>
                <c:pt idx="0">
                  <c:v>China_SK_SK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0-250A-164B-8BF2-55E24C881904}"/>
              </c:ext>
            </c:extLst>
          </c:dPt>
          <c:cat>
            <c:strRef>
              <c:f>'Fig D1-2 - NMC-Ni'!$T$2:$W$2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NMC-Ni'!$T$23:$W$23</c:f>
              <c:numCache>
                <c:formatCode>0.00</c:formatCode>
                <c:ptCount val="4"/>
                <c:pt idx="0" formatCode="General">
                  <c:v>0.33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0.33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1-250A-164B-8BF2-55E24C8819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33225735"/>
        <c:axId val="40294798"/>
      </c:barChart>
      <c:catAx>
        <c:axId val="163322573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NCM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0294798"/>
        <c:crosses val="autoZero"/>
        <c:auto val="1"/>
        <c:lblAlgn val="ctr"/>
        <c:lblOffset val="100"/>
        <c:noMultiLvlLbl val="1"/>
      </c:catAx>
      <c:valAx>
        <c:axId val="4029479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33225735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D1-2 - NMC-Ni'!$AB$3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NMC-Ni'!$AC$3:$AF$3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28826.657369999899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964-7942-AFDB-EC9BA81E0E27}"/>
            </c:ext>
          </c:extLst>
        </c:ser>
        <c:ser>
          <c:idx val="1"/>
          <c:order val="1"/>
          <c:tx>
            <c:strRef>
              <c:f>'Fig D1-2 - NMC-Ni'!$AB$4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NMC-Ni'!$AC$4:$AF$4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8264.7636289999991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8964-7942-AFDB-EC9BA81E0E27}"/>
            </c:ext>
          </c:extLst>
        </c:ser>
        <c:ser>
          <c:idx val="2"/>
          <c:order val="2"/>
          <c:tx>
            <c:strRef>
              <c:f>'Fig D1-2 - NMC-Ni'!$AB$5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NMC-Ni'!$AC$5:$AF$5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13774.606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8964-7942-AFDB-EC9BA81E0E27}"/>
            </c:ext>
          </c:extLst>
        </c:ser>
        <c:ser>
          <c:idx val="3"/>
          <c:order val="3"/>
          <c:tx>
            <c:strRef>
              <c:f>'Fig D1-2 - NMC-Ni'!$AB$6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NMC-Ni'!$AC$6:$AF$6</c:f>
              <c:numCache>
                <c:formatCode>0.00</c:formatCode>
                <c:ptCount val="4"/>
                <c:pt idx="0">
                  <c:v>0</c:v>
                </c:pt>
                <c:pt idx="1">
                  <c:v>28826.657369999899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8964-7942-AFDB-EC9BA81E0E27}"/>
            </c:ext>
          </c:extLst>
        </c:ser>
        <c:ser>
          <c:idx val="4"/>
          <c:order val="4"/>
          <c:tx>
            <c:strRef>
              <c:f>'Fig D1-2 - NMC-Ni'!$AB$7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NMC-Ni'!$AC$7:$AF$7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490.73899999999998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8964-7942-AFDB-EC9BA81E0E27}"/>
            </c:ext>
          </c:extLst>
        </c:ser>
        <c:ser>
          <c:idx val="5"/>
          <c:order val="5"/>
          <c:tx>
            <c:strRef>
              <c:f>'Fig D1-2 - NMC-Ni'!$AB$8</c:f>
              <c:strCache>
                <c:ptCount val="1"/>
                <c:pt idx="0">
                  <c:v>Uncertain_Japan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NMC-Ni'!$AC$8:$AF$8</c:f>
              <c:numCache>
                <c:formatCode>0.00</c:formatCode>
                <c:ptCount val="4"/>
                <c:pt idx="0">
                  <c:v>0</c:v>
                </c:pt>
                <c:pt idx="1">
                  <c:v>7774.0246289999995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8964-7942-AFDB-EC9BA81E0E27}"/>
            </c:ext>
          </c:extLst>
        </c:ser>
        <c:ser>
          <c:idx val="6"/>
          <c:order val="6"/>
          <c:tx>
            <c:strRef>
              <c:f>'Fig D1-2 - NMC-Ni'!$AB$9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NMC-Ni'!$AC$9:$AF$9</c:f>
              <c:numCache>
                <c:formatCode>0.00</c:formatCode>
                <c:ptCount val="4"/>
                <c:pt idx="0">
                  <c:v>0</c:v>
                </c:pt>
                <c:pt idx="1">
                  <c:v>773.75099999999998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8964-7942-AFDB-EC9BA81E0E27}"/>
            </c:ext>
          </c:extLst>
        </c:ser>
        <c:ser>
          <c:idx val="7"/>
          <c:order val="7"/>
          <c:tx>
            <c:strRef>
              <c:f>'Fig D1-2 - NMC-Ni'!$AB$10</c:f>
              <c:strCache>
                <c:ptCount val="1"/>
                <c:pt idx="0">
                  <c:v>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NMC-Ni'!$AC$10:$AF$10</c:f>
              <c:numCache>
                <c:formatCode>0.00</c:formatCode>
                <c:ptCount val="4"/>
                <c:pt idx="0">
                  <c:v>0</c:v>
                </c:pt>
                <c:pt idx="1">
                  <c:v>13000.855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8964-7942-AFDB-EC9BA81E0E27}"/>
            </c:ext>
          </c:extLst>
        </c:ser>
        <c:ser>
          <c:idx val="8"/>
          <c:order val="8"/>
          <c:tx>
            <c:strRef>
              <c:f>'Fig D1-2 - NMC-Ni'!$AB$11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8964-7942-AFDB-EC9BA81E0E27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8964-7942-AFDB-EC9BA81E0E27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NMC-Ni'!$AC$11:$AF$11</c:f>
              <c:numCache>
                <c:formatCode>0.00</c:formatCode>
                <c:ptCount val="4"/>
                <c:pt idx="0">
                  <c:v>28826.657369999899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28826.657369999899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8964-7942-AFDB-EC9BA81E0E27}"/>
            </c:ext>
          </c:extLst>
        </c:ser>
        <c:ser>
          <c:idx val="9"/>
          <c:order val="9"/>
          <c:tx>
            <c:strRef>
              <c:f>'Fig D1-2 - NMC-Ni'!$AB$12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5-8964-7942-AFDB-EC9BA81E0E27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7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NMC-Ni'!$AC$12:$AF$12</c:f>
              <c:numCache>
                <c:formatCode>0.00</c:formatCode>
                <c:ptCount val="4"/>
                <c:pt idx="0" formatCode="General">
                  <c:v>490.73899999999998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490.73899999999998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8964-7942-AFDB-EC9BA81E0E27}"/>
            </c:ext>
          </c:extLst>
        </c:ser>
        <c:ser>
          <c:idx val="10"/>
          <c:order val="10"/>
          <c:tx>
            <c:strRef>
              <c:f>'Fig D1-2 - NMC-Ni'!$AB$13</c:f>
              <c:strCache>
                <c:ptCount val="1"/>
                <c:pt idx="0">
                  <c:v>Uncertain_Uncertain_Japan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8964-7942-AFDB-EC9BA81E0E27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8964-7942-AFDB-EC9BA81E0E27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NMC-Ni'!$AC$13:$AF$13</c:f>
              <c:numCache>
                <c:formatCode>0.00</c:formatCode>
                <c:ptCount val="4"/>
                <c:pt idx="0">
                  <c:v>7774.0246289999995</c:v>
                </c:pt>
                <c:pt idx="1">
                  <c:v>0</c:v>
                </c:pt>
                <c:pt idx="2" formatCode="General">
                  <c:v>0</c:v>
                </c:pt>
                <c:pt idx="3">
                  <c:v>7774.0246289999995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8964-7942-AFDB-EC9BA81E0E27}"/>
            </c:ext>
          </c:extLst>
        </c:ser>
        <c:ser>
          <c:idx val="11"/>
          <c:order val="11"/>
          <c:tx>
            <c:strRef>
              <c:f>'Fig D1-2 - NMC-Ni'!$AB$14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F-8964-7942-AFDB-EC9BA81E0E27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8964-7942-AFDB-EC9BA81E0E27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NMC-Ni'!$AC$14:$AF$14</c:f>
              <c:numCache>
                <c:formatCode>0.00</c:formatCode>
                <c:ptCount val="4"/>
                <c:pt idx="0">
                  <c:v>773.75099999999998</c:v>
                </c:pt>
                <c:pt idx="1">
                  <c:v>0</c:v>
                </c:pt>
                <c:pt idx="2" formatCode="General">
                  <c:v>0</c:v>
                </c:pt>
                <c:pt idx="3">
                  <c:v>773.75099999999998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3-8964-7942-AFDB-EC9BA81E0E27}"/>
            </c:ext>
          </c:extLst>
        </c:ser>
        <c:ser>
          <c:idx val="12"/>
          <c:order val="12"/>
          <c:tx>
            <c:strRef>
              <c:f>'Fig D1-2 - NMC-Ni'!$AB$15</c:f>
              <c:strCache>
                <c:ptCount val="1"/>
                <c:pt idx="0">
                  <c:v>Uncertain_Uncertain_SK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25-8964-7942-AFDB-EC9BA81E0E27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8964-7942-AFDB-EC9BA81E0E27}"/>
              </c:ext>
            </c:extLst>
          </c:dPt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NMC-Ni'!$AC$15:$AF$15</c:f>
              <c:numCache>
                <c:formatCode>0.00</c:formatCode>
                <c:ptCount val="4"/>
                <c:pt idx="0">
                  <c:v>13000.855</c:v>
                </c:pt>
                <c:pt idx="1">
                  <c:v>0</c:v>
                </c:pt>
                <c:pt idx="2" formatCode="General">
                  <c:v>0</c:v>
                </c:pt>
                <c:pt idx="3">
                  <c:v>13000.855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8964-7942-AFDB-EC9BA81E0E27}"/>
            </c:ext>
          </c:extLst>
        </c:ser>
        <c:ser>
          <c:idx val="13"/>
          <c:order val="13"/>
          <c:tx>
            <c:strRef>
              <c:f>'Fig D1-2 - NMC-Ni'!$AB$16</c:f>
              <c:strCache>
                <c:ptCount val="1"/>
              </c:strCache>
            </c:strRef>
          </c:tx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NMC-Ni'!$AC$16:$AF$16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9-8964-7942-AFDB-EC9BA81E0E27}"/>
            </c:ext>
          </c:extLst>
        </c:ser>
        <c:ser>
          <c:idx val="14"/>
          <c:order val="14"/>
          <c:tx>
            <c:strRef>
              <c:f>'Fig D1-2 - NMC-Ni'!$AB$17</c:f>
              <c:strCache>
                <c:ptCount val="1"/>
              </c:strCache>
            </c:strRef>
          </c:tx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NMC-Ni'!$AC$17:$AF$17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A-8964-7942-AFDB-EC9BA81E0E27}"/>
            </c:ext>
          </c:extLst>
        </c:ser>
        <c:ser>
          <c:idx val="15"/>
          <c:order val="15"/>
          <c:tx>
            <c:strRef>
              <c:f>'Fig D1-2 - NMC-Ni'!$AB$18</c:f>
              <c:strCache>
                <c:ptCount val="1"/>
              </c:strCache>
            </c:strRef>
          </c:tx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NMC-Ni'!$AC$18:$AF$18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B-8964-7942-AFDB-EC9BA81E0E27}"/>
            </c:ext>
          </c:extLst>
        </c:ser>
        <c:ser>
          <c:idx val="16"/>
          <c:order val="16"/>
          <c:tx>
            <c:strRef>
              <c:f>'Fig D1-2 - NMC-Ni'!$AB$19</c:f>
              <c:strCache>
                <c:ptCount val="1"/>
              </c:strCache>
            </c:strRef>
          </c:tx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NMC-Ni'!$AC$19:$AF$19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C-8964-7942-AFDB-EC9BA81E0E27}"/>
            </c:ext>
          </c:extLst>
        </c:ser>
        <c:ser>
          <c:idx val="17"/>
          <c:order val="17"/>
          <c:tx>
            <c:strRef>
              <c:f>'Fig D1-2 - NMC-Ni'!$AB$20</c:f>
              <c:strCache>
                <c:ptCount val="1"/>
              </c:strCache>
            </c:strRef>
          </c:tx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NMC-Ni'!$AC$20:$AF$20</c:f>
              <c:numCache>
                <c:formatCode>0.00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D-8964-7942-AFDB-EC9BA81E0E27}"/>
            </c:ext>
          </c:extLst>
        </c:ser>
        <c:ser>
          <c:idx val="18"/>
          <c:order val="18"/>
          <c:tx>
            <c:strRef>
              <c:f>'Fig D1-2 - NMC-Ni'!$AB$21</c:f>
              <c:strCache>
                <c:ptCount val="1"/>
              </c:strCache>
            </c:strRef>
          </c:tx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NMC-Ni'!$AC$21:$AF$21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E-8964-7942-AFDB-EC9BA81E0E27}"/>
            </c:ext>
          </c:extLst>
        </c:ser>
        <c:ser>
          <c:idx val="19"/>
          <c:order val="19"/>
          <c:tx>
            <c:strRef>
              <c:f>'Fig D1-2 - NMC-Ni'!$AB$22</c:f>
              <c:strCache>
                <c:ptCount val="1"/>
              </c:strCache>
            </c:strRef>
          </c:tx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NMC-Ni'!$AC$22:$AF$22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2F-8964-7942-AFDB-EC9BA81E0E27}"/>
            </c:ext>
          </c:extLst>
        </c:ser>
        <c:ser>
          <c:idx val="20"/>
          <c:order val="20"/>
          <c:tx>
            <c:strRef>
              <c:f>'Fig D1-2 - NMC-Ni'!$AB$23</c:f>
              <c:strCache>
                <c:ptCount val="1"/>
              </c:strCache>
            </c:strRef>
          </c:tx>
          <c:invertIfNegative val="1"/>
          <c:cat>
            <c:strRef>
              <c:f>'Fig D1-2 - NMC-Ni'!$AC$2:$AF$2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D1-2 - NMC-Ni'!$AC$23:$AF$23</c:f>
              <c:numCache>
                <c:formatCode>General</c:formatCode>
                <c:ptCount val="4"/>
              </c:numCache>
            </c:numRef>
          </c:val>
          <c:extLst>
            <c:ext xmlns:c16="http://schemas.microsoft.com/office/drawing/2014/chart" uri="{C3380CC4-5D6E-409C-BE32-E72D297353CC}">
              <c16:uniqueId val="{00000030-8964-7942-AFDB-EC9BA81E0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47548688"/>
        <c:axId val="1892962364"/>
      </c:barChart>
      <c:catAx>
        <c:axId val="17475486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NCM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2962364"/>
        <c:crosses val="autoZero"/>
        <c:auto val="1"/>
        <c:lblAlgn val="ctr"/>
        <c:lblOffset val="100"/>
        <c:noMultiLvlLbl val="1"/>
      </c:catAx>
      <c:valAx>
        <c:axId val="189296236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47548688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D1-3 - NMC-Mn'!$J$3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NMC-Mn'!$K$3:$N$3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12053.314979999999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F45-074E-AEB9-A57D4BCC323E}"/>
            </c:ext>
          </c:extLst>
        </c:ser>
        <c:ser>
          <c:idx val="1"/>
          <c:order val="1"/>
          <c:tx>
            <c:strRef>
              <c:f>'Fig D1-3 - NMC-Mn'!$J$4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NMC-Mn'!$K$4:$N$4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3455.75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F45-074E-AEB9-A57D4BCC323E}"/>
            </c:ext>
          </c:extLst>
        </c:ser>
        <c:ser>
          <c:idx val="2"/>
          <c:order val="2"/>
          <c:tx>
            <c:strRef>
              <c:f>'Fig D1-3 - NMC-Mn'!$J$5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NMC-Mn'!$K$5:$N$5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5759.5879999999997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F45-074E-AEB9-A57D4BCC323E}"/>
            </c:ext>
          </c:extLst>
        </c:ser>
        <c:ser>
          <c:idx val="3"/>
          <c:order val="3"/>
          <c:tx>
            <c:strRef>
              <c:f>'Fig D1-3 - NMC-Mn'!$J$6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NMC-Mn'!$K$6:$N$6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12053.314979999999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F45-074E-AEB9-A57D4BCC323E}"/>
            </c:ext>
          </c:extLst>
        </c:ser>
        <c:ser>
          <c:idx val="4"/>
          <c:order val="4"/>
          <c:tx>
            <c:strRef>
              <c:f>'Fig D1-3 - NMC-Mn'!$J$7</c:f>
              <c:strCache>
                <c:ptCount val="1"/>
                <c:pt idx="0">
                  <c:v>Japan_Japan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NMC-Mn'!$K$7:$N$7</c:f>
              <c:numCache>
                <c:formatCode>0.00</c:formatCode>
                <c:ptCount val="4"/>
                <c:pt idx="0">
                  <c:v>0</c:v>
                </c:pt>
                <c:pt idx="1">
                  <c:v>3455.75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F45-074E-AEB9-A57D4BCC323E}"/>
            </c:ext>
          </c:extLst>
        </c:ser>
        <c:ser>
          <c:idx val="5"/>
          <c:order val="5"/>
          <c:tx>
            <c:strRef>
              <c:f>'Fig D1-3 - NMC-Mn'!$J$8</c:f>
              <c:strCache>
                <c:ptCount val="1"/>
                <c:pt idx="0">
                  <c:v>India_Japan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NMC-Mn'!$K$8:$N$8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2F45-074E-AEB9-A57D4BCC323E}"/>
            </c:ext>
          </c:extLst>
        </c:ser>
        <c:ser>
          <c:idx val="6"/>
          <c:order val="6"/>
          <c:tx>
            <c:strRef>
              <c:f>'Fig D1-3 - NMC-Mn'!$J$9</c:f>
              <c:strCache>
                <c:ptCount val="1"/>
                <c:pt idx="0">
                  <c:v>Uncertain_Japan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NMC-Mn'!$K$9:$N$9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2F45-074E-AEB9-A57D4BCC323E}"/>
            </c:ext>
          </c:extLst>
        </c:ser>
        <c:ser>
          <c:idx val="7"/>
          <c:order val="7"/>
          <c:tx>
            <c:strRef>
              <c:f>'Fig D1-3 - NMC-Mn'!$J$10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NMC-Mn'!$K$10:$N$10</c:f>
              <c:numCache>
                <c:formatCode>0.00</c:formatCode>
                <c:ptCount val="4"/>
                <c:pt idx="0">
                  <c:v>0</c:v>
                </c:pt>
                <c:pt idx="1">
                  <c:v>2979.6460000000002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2F45-074E-AEB9-A57D4BCC323E}"/>
            </c:ext>
          </c:extLst>
        </c:ser>
        <c:ser>
          <c:idx val="8"/>
          <c:order val="8"/>
          <c:tx>
            <c:strRef>
              <c:f>'Fig D1-3 - NMC-Mn'!$J$11</c:f>
              <c:strCache>
                <c:ptCount val="1"/>
                <c:pt idx="0">
                  <c:v>Japan_SK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NMC-Mn'!$K$11:$N$11</c:f>
              <c:numCache>
                <c:formatCode>0.00</c:formatCode>
                <c:ptCount val="4"/>
                <c:pt idx="0">
                  <c:v>0</c:v>
                </c:pt>
                <c:pt idx="1">
                  <c:v>654.202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2F45-074E-AEB9-A57D4BCC323E}"/>
            </c:ext>
          </c:extLst>
        </c:ser>
        <c:ser>
          <c:idx val="9"/>
          <c:order val="9"/>
          <c:tx>
            <c:strRef>
              <c:f>'Fig D1-3 - NMC-Mn'!$J$12</c:f>
              <c:strCache>
                <c:ptCount val="1"/>
                <c:pt idx="0">
                  <c:v>India_SK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2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NMC-Mn'!$K$12:$N$12</c:f>
              <c:numCache>
                <c:formatCode>0.00</c:formatCode>
                <c:ptCount val="4"/>
                <c:pt idx="0">
                  <c:v>0</c:v>
                </c:pt>
                <c:pt idx="1">
                  <c:v>29.617999999999999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2F45-074E-AEB9-A57D4BCC323E}"/>
            </c:ext>
          </c:extLst>
        </c:ser>
        <c:ser>
          <c:idx val="10"/>
          <c:order val="10"/>
          <c:tx>
            <c:strRef>
              <c:f>'Fig D1-3 - NMC-Mn'!$J$13</c:f>
              <c:strCache>
                <c:ptCount val="1"/>
                <c:pt idx="0">
                  <c:v>USA_SK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5-2F45-074E-AEB9-A57D4BCC323E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NMC-Mn'!$K$13:$N$13</c:f>
              <c:numCache>
                <c:formatCode>0.00</c:formatCode>
                <c:ptCount val="4"/>
                <c:pt idx="0">
                  <c:v>0</c:v>
                </c:pt>
                <c:pt idx="1">
                  <c:v>176.88800000000001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2F45-074E-AEB9-A57D4BCC323E}"/>
            </c:ext>
          </c:extLst>
        </c:ser>
        <c:ser>
          <c:idx val="11"/>
          <c:order val="11"/>
          <c:tx>
            <c:strRef>
              <c:f>'Fig D1-3 - NMC-Mn'!$J$14</c:f>
              <c:strCache>
                <c:ptCount val="1"/>
                <c:pt idx="0">
                  <c:v>Uncertain_SK</c:v>
                </c:pt>
              </c:strCache>
            </c:strRef>
          </c:tx>
          <c:spPr>
            <a:solidFill>
              <a:srgbClr val="43434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2F45-074E-AEB9-A57D4BCC323E}"/>
              </c:ext>
            </c:extLst>
          </c:dPt>
          <c:dPt>
            <c:idx val="1"/>
            <c:invertIfNegative val="1"/>
            <c:bubble3D val="0"/>
            <c:spPr>
              <a:solidFill>
                <a:srgbClr val="666666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NMC-Mn'!$K$14:$N$14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1919.2339999999999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F-2F45-074E-AEB9-A57D4BCC323E}"/>
            </c:ext>
          </c:extLst>
        </c:ser>
        <c:ser>
          <c:idx val="12"/>
          <c:order val="12"/>
          <c:tx>
            <c:strRef>
              <c:f>'Fig D1-3 - NMC-Mn'!$J$15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NMC-Mn'!$K$15:$N$15</c:f>
              <c:numCache>
                <c:formatCode>0.00</c:formatCode>
                <c:ptCount val="4"/>
                <c:pt idx="0" formatCode="General">
                  <c:v>12053.314979999999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12053.314979999999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3-2F45-074E-AEB9-A57D4BCC323E}"/>
            </c:ext>
          </c:extLst>
        </c:ser>
        <c:ser>
          <c:idx val="13"/>
          <c:order val="13"/>
          <c:tx>
            <c:strRef>
              <c:f>'Fig D1-3 - NMC-Mn'!$J$16</c:f>
              <c:strCache>
                <c:ptCount val="1"/>
                <c:pt idx="0">
                  <c:v>Australia_Japan_Japan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NMC-Mn'!$K$16:$N$16</c:f>
              <c:numCache>
                <c:formatCode>0.00</c:formatCode>
                <c:ptCount val="4"/>
                <c:pt idx="0">
                  <c:v>3455.75</c:v>
                </c:pt>
                <c:pt idx="1">
                  <c:v>0</c:v>
                </c:pt>
                <c:pt idx="2" formatCode="General">
                  <c:v>0</c:v>
                </c:pt>
                <c:pt idx="3">
                  <c:v>3455.75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2F45-074E-AEB9-A57D4BCC323E}"/>
            </c:ext>
          </c:extLst>
        </c:ser>
        <c:ser>
          <c:idx val="14"/>
          <c:order val="14"/>
          <c:tx>
            <c:strRef>
              <c:f>'Fig D1-3 - NMC-Mn'!$J$17</c:f>
              <c:strCache>
                <c:ptCount val="1"/>
                <c:pt idx="0">
                  <c:v>India_India_Japan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NMC-Mn'!$K$17:$N$17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2F45-074E-AEB9-A57D4BCC323E}"/>
            </c:ext>
          </c:extLst>
        </c:ser>
        <c:ser>
          <c:idx val="15"/>
          <c:order val="15"/>
          <c:tx>
            <c:strRef>
              <c:f>'Fig D1-3 - NMC-Mn'!$J$18</c:f>
              <c:strCache>
                <c:ptCount val="1"/>
                <c:pt idx="0">
                  <c:v>Uncertain_Uncertain_Japan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B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NMC-Mn'!$K$18:$N$18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E-2F45-074E-AEB9-A57D4BCC323E}"/>
            </c:ext>
          </c:extLst>
        </c:ser>
        <c:ser>
          <c:idx val="16"/>
          <c:order val="16"/>
          <c:tx>
            <c:strRef>
              <c:f>'Fig D1-3 - NMC-Mn'!$J$19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F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NMC-Mn'!$K$19:$N$19</c:f>
              <c:numCache>
                <c:formatCode>0.00</c:formatCode>
                <c:ptCount val="4"/>
                <c:pt idx="0">
                  <c:v>2979.6460000000002</c:v>
                </c:pt>
                <c:pt idx="1">
                  <c:v>0</c:v>
                </c:pt>
                <c:pt idx="2" formatCode="General">
                  <c:v>0</c:v>
                </c:pt>
                <c:pt idx="3">
                  <c:v>2979.6460000000002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2-2F45-074E-AEB9-A57D4BCC323E}"/>
            </c:ext>
          </c:extLst>
        </c:ser>
        <c:ser>
          <c:idx val="17"/>
          <c:order val="17"/>
          <c:tx>
            <c:strRef>
              <c:f>'Fig D1-3 - NMC-Mn'!$J$20</c:f>
              <c:strCache>
                <c:ptCount val="1"/>
                <c:pt idx="0">
                  <c:v>Australia_Japan_SK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3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NMC-Mn'!$K$20:$N$20</c:f>
              <c:numCache>
                <c:formatCode>0.00</c:formatCode>
                <c:ptCount val="4"/>
                <c:pt idx="0">
                  <c:v>654.202</c:v>
                </c:pt>
                <c:pt idx="1">
                  <c:v>0</c:v>
                </c:pt>
                <c:pt idx="2" formatCode="General">
                  <c:v>0</c:v>
                </c:pt>
                <c:pt idx="3">
                  <c:v>654.202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6-2F45-074E-AEB9-A57D4BCC323E}"/>
            </c:ext>
          </c:extLst>
        </c:ser>
        <c:ser>
          <c:idx val="18"/>
          <c:order val="18"/>
          <c:tx>
            <c:strRef>
              <c:f>'Fig D1-3 - NMC-Mn'!$J$21</c:f>
              <c:strCache>
                <c:ptCount val="1"/>
                <c:pt idx="0">
                  <c:v>India_India_SK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9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NMC-Mn'!$K$21:$N$21</c:f>
              <c:numCache>
                <c:formatCode>0.00</c:formatCode>
                <c:ptCount val="4"/>
                <c:pt idx="0">
                  <c:v>29.617999999999999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29.617999999999999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A-2F45-074E-AEB9-A57D4BCC323E}"/>
            </c:ext>
          </c:extLst>
        </c:ser>
        <c:ser>
          <c:idx val="19"/>
          <c:order val="19"/>
          <c:tx>
            <c:strRef>
              <c:f>'Fig D1-3 - NMC-Mn'!$J$22</c:f>
              <c:strCache>
                <c:ptCount val="1"/>
                <c:pt idx="0">
                  <c:v>Australia_USA_SK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NMC-Mn'!$K$22:$N$22</c:f>
              <c:numCache>
                <c:formatCode>0.00</c:formatCode>
                <c:ptCount val="4"/>
                <c:pt idx="0">
                  <c:v>176.88800000000001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176.88800000000001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D-2F45-074E-AEB9-A57D4BCC323E}"/>
            </c:ext>
          </c:extLst>
        </c:ser>
        <c:ser>
          <c:idx val="20"/>
          <c:order val="20"/>
          <c:tx>
            <c:strRef>
              <c:f>'Fig D1-3 - NMC-Mn'!$J$23</c:f>
              <c:strCache>
                <c:ptCount val="1"/>
                <c:pt idx="0">
                  <c:v>Uncertain_Uncertain_SK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2F45-074E-AEB9-A57D4BCC323E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2F45-074E-AEB9-A57D4BCC323E}"/>
              </c:ext>
            </c:extLst>
          </c:dPt>
          <c:cat>
            <c:strRef>
              <c:f>'Fig D1-3 - NMC-Mn'!$K$2:$N$2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NMC-Mn'!$K$23:$N$23</c:f>
              <c:numCache>
                <c:formatCode>0.00</c:formatCode>
                <c:ptCount val="4"/>
                <c:pt idx="0" formatCode="General">
                  <c:v>1919.2339999999999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1919.2339999999999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1-2F45-074E-AEB9-A57D4BCC32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1572733"/>
        <c:axId val="44380245"/>
      </c:barChart>
      <c:catAx>
        <c:axId val="4315727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4380245"/>
        <c:crosses val="autoZero"/>
        <c:auto val="1"/>
        <c:lblAlgn val="ctr"/>
        <c:lblOffset val="100"/>
        <c:noMultiLvlLbl val="1"/>
      </c:catAx>
      <c:valAx>
        <c:axId val="4438024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1572733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D1-3 - NMC-Mn'!$S$3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NMC-Mn'!$T$3:$W$3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12053.314979999999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2D4-2240-AF81-E5B7651ABA53}"/>
            </c:ext>
          </c:extLst>
        </c:ser>
        <c:ser>
          <c:idx val="1"/>
          <c:order val="1"/>
          <c:tx>
            <c:strRef>
              <c:f>'Fig D1-3 - NMC-Mn'!$S$4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NMC-Mn'!$T$4:$W$4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3455.752708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22D4-2240-AF81-E5B7651ABA53}"/>
            </c:ext>
          </c:extLst>
        </c:ser>
        <c:ser>
          <c:idx val="2"/>
          <c:order val="2"/>
          <c:tx>
            <c:strRef>
              <c:f>'Fig D1-3 - NMC-Mn'!$S$5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NMC-Mn'!$T$5:$W$5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5759.5878460000004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22D4-2240-AF81-E5B7651ABA53}"/>
            </c:ext>
          </c:extLst>
        </c:ser>
        <c:ser>
          <c:idx val="3"/>
          <c:order val="3"/>
          <c:tx>
            <c:strRef>
              <c:f>'Fig D1-3 - NMC-Mn'!$S$6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NMC-Mn'!$T$6:$W$6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12053.314979999999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22D4-2240-AF81-E5B7651ABA53}"/>
            </c:ext>
          </c:extLst>
        </c:ser>
        <c:ser>
          <c:idx val="4"/>
          <c:order val="4"/>
          <c:tx>
            <c:strRef>
              <c:f>'Fig D1-3 - NMC-Mn'!$S$7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NMC-Mn'!$T$7:$W$7</c:f>
              <c:numCache>
                <c:formatCode>0.00</c:formatCode>
                <c:ptCount val="4"/>
                <c:pt idx="0">
                  <c:v>0</c:v>
                </c:pt>
                <c:pt idx="1">
                  <c:v>938.16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22D4-2240-AF81-E5B7651ABA53}"/>
            </c:ext>
          </c:extLst>
        </c:ser>
        <c:ser>
          <c:idx val="5"/>
          <c:order val="5"/>
          <c:tx>
            <c:strRef>
              <c:f>'Fig D1-3 - NMC-Mn'!$S$8</c:f>
              <c:strCache>
                <c:ptCount val="1"/>
                <c:pt idx="0">
                  <c:v>Japan_Japan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NMC-Mn'!$T$8:$W$8</c:f>
              <c:numCache>
                <c:formatCode>0.00</c:formatCode>
                <c:ptCount val="4"/>
                <c:pt idx="0">
                  <c:v>0</c:v>
                </c:pt>
                <c:pt idx="1">
                  <c:v>2455.4127080000003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22D4-2240-AF81-E5B7651ABA53}"/>
            </c:ext>
          </c:extLst>
        </c:ser>
        <c:ser>
          <c:idx val="6"/>
          <c:order val="6"/>
          <c:tx>
            <c:strRef>
              <c:f>'Fig D1-3 - NMC-Mn'!$S$9</c:f>
              <c:strCache>
                <c:ptCount val="1"/>
                <c:pt idx="0">
                  <c:v>India_Japan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D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NMC-Mn'!$T$9:$W$9</c:f>
              <c:numCache>
                <c:formatCode>0.00</c:formatCode>
                <c:ptCount val="4"/>
                <c:pt idx="0">
                  <c:v>0</c:v>
                </c:pt>
                <c:pt idx="1">
                  <c:v>62.18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22D4-2240-AF81-E5B7651ABA53}"/>
            </c:ext>
          </c:extLst>
        </c:ser>
        <c:ser>
          <c:idx val="7"/>
          <c:order val="7"/>
          <c:tx>
            <c:strRef>
              <c:f>'Fig D1-3 - NMC-Mn'!$S$10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2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4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NMC-Mn'!$T$10:$W$10</c:f>
              <c:numCache>
                <c:formatCode>0.00</c:formatCode>
                <c:ptCount val="4"/>
                <c:pt idx="0">
                  <c:v>0</c:v>
                </c:pt>
                <c:pt idx="1">
                  <c:v>2979.6460000000002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22D4-2240-AF81-E5B7651ABA53}"/>
            </c:ext>
          </c:extLst>
        </c:ser>
        <c:ser>
          <c:idx val="8"/>
          <c:order val="8"/>
          <c:tx>
            <c:strRef>
              <c:f>'Fig D1-3 - NMC-Mn'!$S$11</c:f>
              <c:strCache>
                <c:ptCount val="1"/>
                <c:pt idx="0">
                  <c:v>Japan_SK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7-22D4-2240-AF81-E5B7651ABA5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A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NMC-Mn'!$T$11:$W$11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654.202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B-22D4-2240-AF81-E5B7651ABA53}"/>
            </c:ext>
          </c:extLst>
        </c:ser>
        <c:ser>
          <c:idx val="9"/>
          <c:order val="9"/>
          <c:tx>
            <c:strRef>
              <c:f>'Fig D1-3 - NMC-Mn'!$S$12</c:f>
              <c:strCache>
                <c:ptCount val="1"/>
                <c:pt idx="0">
                  <c:v>India_SK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1D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F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NMC-Mn'!$T$12:$W$12</c:f>
              <c:numCache>
                <c:formatCode>0.00</c:formatCode>
                <c:ptCount val="4"/>
                <c:pt idx="0">
                  <c:v>0</c:v>
                </c:pt>
                <c:pt idx="1">
                  <c:v>29.617999999999999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22D4-2240-AF81-E5B7651ABA53}"/>
            </c:ext>
          </c:extLst>
        </c:ser>
        <c:ser>
          <c:idx val="10"/>
          <c:order val="10"/>
          <c:tx>
            <c:strRef>
              <c:f>'Fig D1-3 - NMC-Mn'!$S$13</c:f>
              <c:strCache>
                <c:ptCount val="1"/>
                <c:pt idx="0">
                  <c:v>USA_SK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22-22D4-2240-AF81-E5B7651ABA5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NMC-Mn'!$T$13:$W$13</c:f>
              <c:numCache>
                <c:formatCode>0.00</c:formatCode>
                <c:ptCount val="4"/>
                <c:pt idx="0">
                  <c:v>0</c:v>
                </c:pt>
                <c:pt idx="1">
                  <c:v>176.88800000000001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22D4-2240-AF81-E5B7651ABA53}"/>
            </c:ext>
          </c:extLst>
        </c:ser>
        <c:ser>
          <c:idx val="11"/>
          <c:order val="11"/>
          <c:tx>
            <c:strRef>
              <c:f>'Fig D1-3 - NMC-Mn'!$S$14</c:f>
              <c:strCache>
                <c:ptCount val="1"/>
                <c:pt idx="0">
                  <c:v>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28-22D4-2240-AF81-E5B7651ABA53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9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NMC-Mn'!$T$14:$W$14</c:f>
              <c:numCache>
                <c:formatCode>0.00</c:formatCode>
                <c:ptCount val="4"/>
                <c:pt idx="0">
                  <c:v>0</c:v>
                </c:pt>
                <c:pt idx="1">
                  <c:v>1919.2338460000001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22D4-2240-AF81-E5B7651ABA53}"/>
            </c:ext>
          </c:extLst>
        </c:ser>
        <c:ser>
          <c:idx val="12"/>
          <c:order val="12"/>
          <c:tx>
            <c:strRef>
              <c:f>'Fig D1-3 - NMC-Mn'!$S$15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2E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NMC-Mn'!$T$15:$W$15</c:f>
              <c:numCache>
                <c:formatCode>0.00</c:formatCode>
                <c:ptCount val="4"/>
                <c:pt idx="0" formatCode="General">
                  <c:v>12053.314979999999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12053.314979999999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1-22D4-2240-AF81-E5B7651ABA53}"/>
            </c:ext>
          </c:extLst>
        </c:ser>
        <c:ser>
          <c:idx val="13"/>
          <c:order val="13"/>
          <c:tx>
            <c:strRef>
              <c:f>'Fig D1-3 - NMC-Mn'!$S$16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33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5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NMC-Mn'!$T$16:$W$16</c:f>
              <c:numCache>
                <c:formatCode>0.00</c:formatCode>
                <c:ptCount val="4"/>
                <c:pt idx="0">
                  <c:v>938.16</c:v>
                </c:pt>
                <c:pt idx="1">
                  <c:v>0</c:v>
                </c:pt>
                <c:pt idx="2" formatCode="General">
                  <c:v>0</c:v>
                </c:pt>
                <c:pt idx="3">
                  <c:v>938.16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6-22D4-2240-AF81-E5B7651ABA53}"/>
            </c:ext>
          </c:extLst>
        </c:ser>
        <c:ser>
          <c:idx val="14"/>
          <c:order val="14"/>
          <c:tx>
            <c:strRef>
              <c:f>'Fig D1-3 - NMC-Mn'!$S$17</c:f>
              <c:strCache>
                <c:ptCount val="1"/>
                <c:pt idx="0">
                  <c:v>SouthAfrica_Japan_Japan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9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NMC-Mn'!$T$17:$W$17</c:f>
              <c:numCache>
                <c:formatCode>0.00</c:formatCode>
                <c:ptCount val="4"/>
                <c:pt idx="0">
                  <c:v>2455.4127080000003</c:v>
                </c:pt>
                <c:pt idx="1">
                  <c:v>0</c:v>
                </c:pt>
                <c:pt idx="2" formatCode="General">
                  <c:v>0</c:v>
                </c:pt>
                <c:pt idx="3">
                  <c:v>2455.4127080000003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A-22D4-2240-AF81-E5B7651ABA53}"/>
            </c:ext>
          </c:extLst>
        </c:ser>
        <c:ser>
          <c:idx val="15"/>
          <c:order val="15"/>
          <c:tx>
            <c:strRef>
              <c:f>'Fig D1-3 - NMC-Mn'!$S$18</c:f>
              <c:strCache>
                <c:ptCount val="1"/>
                <c:pt idx="0">
                  <c:v>China_India_Japan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B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NMC-Mn'!$T$18:$W$18</c:f>
              <c:numCache>
                <c:formatCode>0.00</c:formatCode>
                <c:ptCount val="4"/>
                <c:pt idx="0" formatCode="General">
                  <c:v>62.18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62.18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C-22D4-2240-AF81-E5B7651ABA53}"/>
            </c:ext>
          </c:extLst>
        </c:ser>
        <c:ser>
          <c:idx val="16"/>
          <c:order val="16"/>
          <c:tx>
            <c:strRef>
              <c:f>'Fig D1-3 - NMC-Mn'!$S$19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3E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NMC-Mn'!$T$19:$W$19</c:f>
              <c:numCache>
                <c:formatCode>0.00</c:formatCode>
                <c:ptCount val="4"/>
                <c:pt idx="0">
                  <c:v>2979.6460000000002</c:v>
                </c:pt>
                <c:pt idx="1">
                  <c:v>0</c:v>
                </c:pt>
                <c:pt idx="2" formatCode="General">
                  <c:v>0</c:v>
                </c:pt>
                <c:pt idx="3">
                  <c:v>2979.6460000000002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1-22D4-2240-AF81-E5B7651ABA53}"/>
            </c:ext>
          </c:extLst>
        </c:ser>
        <c:ser>
          <c:idx val="17"/>
          <c:order val="17"/>
          <c:tx>
            <c:strRef>
              <c:f>'Fig D1-3 - NMC-Mn'!$S$20</c:f>
              <c:strCache>
                <c:ptCount val="1"/>
                <c:pt idx="0">
                  <c:v>China_Japan_SK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2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NMC-Mn'!$T$20:$W$20</c:f>
              <c:numCache>
                <c:formatCode>0.00</c:formatCode>
                <c:ptCount val="4"/>
                <c:pt idx="0" formatCode="General">
                  <c:v>26.4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3-22D4-2240-AF81-E5B7651ABA53}"/>
            </c:ext>
          </c:extLst>
        </c:ser>
        <c:ser>
          <c:idx val="18"/>
          <c:order val="18"/>
          <c:tx>
            <c:strRef>
              <c:f>'Fig D1-3 - NMC-Mn'!$S$21</c:f>
              <c:strCache>
                <c:ptCount val="1"/>
                <c:pt idx="0">
                  <c:v>SouthAfrica_Japan_SK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5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NMC-Mn'!$T$21:$W$21</c:f>
              <c:numCache>
                <c:formatCode>0.00</c:formatCode>
                <c:ptCount val="4"/>
                <c:pt idx="0" formatCode="General">
                  <c:v>627.80200000000002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627.80200000000002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6-22D4-2240-AF81-E5B7651ABA53}"/>
            </c:ext>
          </c:extLst>
        </c:ser>
        <c:ser>
          <c:idx val="19"/>
          <c:order val="19"/>
          <c:tx>
            <c:strRef>
              <c:f>'Fig D1-3 - NMC-Mn'!$S$22</c:f>
              <c:strCache>
                <c:ptCount val="1"/>
                <c:pt idx="0">
                  <c:v>China_India_SK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7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9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NMC-Mn'!$T$22:$W$22</c:f>
              <c:numCache>
                <c:formatCode>0.00</c:formatCode>
                <c:ptCount val="4"/>
                <c:pt idx="0">
                  <c:v>29.617999999999999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29.617999999999999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A-22D4-2240-AF81-E5B7651ABA53}"/>
            </c:ext>
          </c:extLst>
        </c:ser>
        <c:ser>
          <c:idx val="20"/>
          <c:order val="20"/>
          <c:tx>
            <c:strRef>
              <c:f>'Fig D1-3 - NMC-Mn'!$S$23</c:f>
              <c:strCache>
                <c:ptCount val="1"/>
                <c:pt idx="0">
                  <c:v>SouthAfrica_USA_SK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B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D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NMC-Mn'!$T$23:$W$23</c:f>
              <c:numCache>
                <c:formatCode>0.00</c:formatCode>
                <c:ptCount val="4"/>
                <c:pt idx="0" formatCode="General">
                  <c:v>176.88800000000001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176.88800000000001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E-22D4-2240-AF81-E5B7651ABA53}"/>
            </c:ext>
          </c:extLst>
        </c:ser>
        <c:ser>
          <c:idx val="21"/>
          <c:order val="21"/>
          <c:tx>
            <c:strRef>
              <c:f>'Fig D1-3 - NMC-Mn'!$S$24</c:f>
              <c:strCache>
                <c:ptCount val="1"/>
                <c:pt idx="0">
                  <c:v>Uncertain_Uncertain_SK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50-22D4-2240-AF81-E5B7651ABA53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2-22D4-2240-AF81-E5B7651ABA53}"/>
              </c:ext>
            </c:extLst>
          </c:dPt>
          <c:cat>
            <c:strRef>
              <c:f>'Fig D1-3 - NMC-Mn'!$T$2:$W$2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NMC-Mn'!$T$24:$W$24</c:f>
              <c:numCache>
                <c:formatCode>0.00</c:formatCode>
                <c:ptCount val="4"/>
                <c:pt idx="0" formatCode="General">
                  <c:v>1919.2338460000001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1919.2338460000001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3-22D4-2240-AF81-E5B7651ABA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10010507"/>
        <c:axId val="1338486752"/>
      </c:barChart>
      <c:catAx>
        <c:axId val="171001050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38486752"/>
        <c:crosses val="autoZero"/>
        <c:auto val="1"/>
        <c:lblAlgn val="ctr"/>
        <c:lblOffset val="100"/>
        <c:noMultiLvlLbl val="1"/>
      </c:catAx>
      <c:valAx>
        <c:axId val="133848675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10010507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D1-3 - NMC-Mn'!$A$3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NMC-Mn'!$B$3:$E$3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12053.315000000001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BF64-DD4E-A939-3EF041D25B69}"/>
            </c:ext>
          </c:extLst>
        </c:ser>
        <c:ser>
          <c:idx val="1"/>
          <c:order val="1"/>
          <c:tx>
            <c:strRef>
              <c:f>'Fig D1-3 - NMC-Mn'!$A$4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NMC-Mn'!$B$4:$E$4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3455.7527100000002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BF64-DD4E-A939-3EF041D25B69}"/>
            </c:ext>
          </c:extLst>
        </c:ser>
        <c:ser>
          <c:idx val="2"/>
          <c:order val="2"/>
          <c:tx>
            <c:strRef>
              <c:f>'Fig D1-3 - NMC-Mn'!$A$5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NMC-Mn'!$B$5:$E$5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5759.5878499999999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BF64-DD4E-A939-3EF041D25B69}"/>
            </c:ext>
          </c:extLst>
        </c:ser>
        <c:ser>
          <c:idx val="3"/>
          <c:order val="3"/>
          <c:tx>
            <c:strRef>
              <c:f>'Fig D1-3 - NMC-Mn'!$A$6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NMC-Mn'!$B$6:$E$6</c:f>
              <c:numCache>
                <c:formatCode>0.00</c:formatCode>
                <c:ptCount val="4"/>
                <c:pt idx="0">
                  <c:v>0</c:v>
                </c:pt>
                <c:pt idx="1">
                  <c:v>12010.93376249512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BF64-DD4E-A939-3EF041D25B69}"/>
            </c:ext>
          </c:extLst>
        </c:ser>
        <c:ser>
          <c:idx val="4"/>
          <c:order val="4"/>
          <c:tx>
            <c:strRef>
              <c:f>'Fig D1-3 - NMC-Mn'!$A$7</c:f>
              <c:strCache>
                <c:ptCount val="1"/>
                <c:pt idx="0">
                  <c:v>USA_China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NMC-Mn'!$B$7:$E$7</c:f>
              <c:numCache>
                <c:formatCode>0.00</c:formatCode>
                <c:ptCount val="4"/>
                <c:pt idx="0">
                  <c:v>0</c:v>
                </c:pt>
                <c:pt idx="1">
                  <c:v>7.2000907050350014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BF64-DD4E-A939-3EF041D25B69}"/>
            </c:ext>
          </c:extLst>
        </c:ser>
        <c:ser>
          <c:idx val="5"/>
          <c:order val="5"/>
          <c:tx>
            <c:strRef>
              <c:f>'Fig D1-3 - NMC-Mn'!$A$8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9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NMC-Mn'!$B$8:$E$8</c:f>
              <c:numCache>
                <c:formatCode>0.00</c:formatCode>
                <c:ptCount val="4"/>
                <c:pt idx="0">
                  <c:v>0</c:v>
                </c:pt>
                <c:pt idx="1">
                  <c:v>432.97016608535415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BF64-DD4E-A939-3EF041D25B69}"/>
            </c:ext>
          </c:extLst>
        </c:ser>
        <c:ser>
          <c:idx val="6"/>
          <c:order val="6"/>
          <c:tx>
            <c:strRef>
              <c:f>'Fig D1-3 - NMC-Mn'!$A$9</c:f>
              <c:strCache>
                <c:ptCount val="1"/>
                <c:pt idx="0">
                  <c:v>Japan_Japan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NMC-Mn'!$B$9:$E$9</c:f>
              <c:numCache>
                <c:formatCode>0.00</c:formatCode>
                <c:ptCount val="4"/>
                <c:pt idx="0">
                  <c:v>0</c:v>
                </c:pt>
                <c:pt idx="1">
                  <c:v>2722.9304335863953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BF64-DD4E-A939-3EF041D25B69}"/>
            </c:ext>
          </c:extLst>
        </c:ser>
        <c:ser>
          <c:idx val="7"/>
          <c:order val="7"/>
          <c:tx>
            <c:strRef>
              <c:f>'Fig D1-3 - NMC-Mn'!$A$10</c:f>
              <c:strCache>
                <c:ptCount val="1"/>
                <c:pt idx="0">
                  <c:v>USA_Japan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NMC-Mn'!$B$10:$E$10</c:f>
              <c:numCache>
                <c:formatCode>0.00</c:formatCode>
                <c:ptCount val="4"/>
                <c:pt idx="0">
                  <c:v>0</c:v>
                </c:pt>
                <c:pt idx="1">
                  <c:v>0.26547337176486629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BF64-DD4E-A939-3EF041D25B69}"/>
            </c:ext>
          </c:extLst>
        </c:ser>
        <c:ser>
          <c:idx val="8"/>
          <c:order val="8"/>
          <c:tx>
            <c:strRef>
              <c:f>'Fig D1-3 - NMC-Mn'!$A$11</c:f>
              <c:strCache>
                <c:ptCount val="1"/>
                <c:pt idx="0">
                  <c:v>India_Japan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NMC-Mn'!$B$11:$E$11</c:f>
              <c:numCache>
                <c:formatCode>0.00</c:formatCode>
                <c:ptCount val="4"/>
                <c:pt idx="0">
                  <c:v>0</c:v>
                </c:pt>
                <c:pt idx="1">
                  <c:v>31.028447850262001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BF64-DD4E-A939-3EF041D25B69}"/>
            </c:ext>
          </c:extLst>
        </c:ser>
        <c:ser>
          <c:idx val="9"/>
          <c:order val="9"/>
          <c:tx>
            <c:strRef>
              <c:f>'Fig D1-3 - NMC-Mn'!$A$12</c:f>
              <c:strCache>
                <c:ptCount val="1"/>
                <c:pt idx="0">
                  <c:v>Colombia_Japan</c:v>
                </c:pt>
              </c:strCache>
            </c:strRef>
          </c:tx>
          <c:spPr>
            <a:solidFill>
              <a:srgbClr val="FFCD00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NMC-Mn'!$B$12:$E$12</c:f>
              <c:numCache>
                <c:formatCode>0.00</c:formatCode>
                <c:ptCount val="4"/>
                <c:pt idx="0">
                  <c:v>0</c:v>
                </c:pt>
                <c:pt idx="1">
                  <c:v>233.37704230637718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BF64-DD4E-A939-3EF041D25B69}"/>
            </c:ext>
          </c:extLst>
        </c:ser>
        <c:ser>
          <c:idx val="10"/>
          <c:order val="10"/>
          <c:tx>
            <c:strRef>
              <c:f>'Fig D1-3 - NMC-Mn'!$A$13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NMC-Mn'!$B$13:$E$13</c:f>
              <c:numCache>
                <c:formatCode>0.00</c:formatCode>
                <c:ptCount val="4"/>
                <c:pt idx="0">
                  <c:v>0</c:v>
                </c:pt>
                <c:pt idx="1">
                  <c:v>4468.7372307087053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BF64-DD4E-A939-3EF041D25B69}"/>
            </c:ext>
          </c:extLst>
        </c:ser>
        <c:ser>
          <c:idx val="11"/>
          <c:order val="11"/>
          <c:tx>
            <c:strRef>
              <c:f>'Fig D1-3 - NMC-Mn'!$A$14</c:f>
              <c:strCache>
                <c:ptCount val="1"/>
                <c:pt idx="0">
                  <c:v>Japan_SK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NMC-Mn'!$B$14:$E$14</c:f>
              <c:numCache>
                <c:formatCode>0.00</c:formatCode>
                <c:ptCount val="4"/>
                <c:pt idx="0">
                  <c:v>0</c:v>
                </c:pt>
                <c:pt idx="1">
                  <c:v>981.14233496331326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BF64-DD4E-A939-3EF041D25B69}"/>
            </c:ext>
          </c:extLst>
        </c:ser>
        <c:ser>
          <c:idx val="12"/>
          <c:order val="12"/>
          <c:tx>
            <c:strRef>
              <c:f>'Fig D1-3 - NMC-Mn'!$A$15</c:f>
              <c:strCache>
                <c:ptCount val="1"/>
                <c:pt idx="0">
                  <c:v>USA_SK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NMC-Mn'!$B$15:$E$15</c:f>
              <c:numCache>
                <c:formatCode>0.00</c:formatCode>
                <c:ptCount val="4"/>
                <c:pt idx="0">
                  <c:v>0</c:v>
                </c:pt>
                <c:pt idx="1">
                  <c:v>265.28855819302072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BF64-DD4E-A939-3EF041D25B69}"/>
            </c:ext>
          </c:extLst>
        </c:ser>
        <c:ser>
          <c:idx val="13"/>
          <c:order val="13"/>
          <c:tx>
            <c:strRef>
              <c:f>'Fig D1-3 - NMC-Mn'!$A$16</c:f>
              <c:strCache>
                <c:ptCount val="1"/>
                <c:pt idx="0">
                  <c:v>India_SK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NMC-Mn'!$B$16:$E$16</c:f>
              <c:numCache>
                <c:formatCode>0.00</c:formatCode>
                <c:ptCount val="4"/>
                <c:pt idx="0">
                  <c:v>0</c:v>
                </c:pt>
                <c:pt idx="1">
                  <c:v>44.41972613496047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BF64-DD4E-A939-3EF041D25B69}"/>
            </c:ext>
          </c:extLst>
        </c:ser>
        <c:ser>
          <c:idx val="14"/>
          <c:order val="14"/>
          <c:tx>
            <c:strRef>
              <c:f>'Fig D1-3 - NMC-Mn'!$A$17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8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NMC-Mn'!$B$17:$E$17</c:f>
              <c:numCache>
                <c:formatCode>General</c:formatCode>
                <c:ptCount val="4"/>
                <c:pt idx="0">
                  <c:v>1544.1806679029112</c:v>
                </c:pt>
                <c:pt idx="1">
                  <c:v>0</c:v>
                </c:pt>
                <c:pt idx="2">
                  <c:v>0</c:v>
                </c:pt>
                <c:pt idx="3">
                  <c:v>1544.1806679029112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BF64-DD4E-A939-3EF041D25B69}"/>
            </c:ext>
          </c:extLst>
        </c:ser>
        <c:ser>
          <c:idx val="15"/>
          <c:order val="15"/>
          <c:tx>
            <c:strRef>
              <c:f>'Fig D1-3 - NMC-Mn'!$A$18</c:f>
              <c:strCache>
                <c:ptCount val="1"/>
                <c:pt idx="0">
                  <c:v>Australia_China_China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NMC-Mn'!$B$18:$E$18</c:f>
              <c:numCache>
                <c:formatCode>General</c:formatCode>
                <c:ptCount val="4"/>
                <c:pt idx="0">
                  <c:v>1861.2472314932288</c:v>
                </c:pt>
                <c:pt idx="1">
                  <c:v>0</c:v>
                </c:pt>
                <c:pt idx="2">
                  <c:v>0</c:v>
                </c:pt>
                <c:pt idx="3">
                  <c:v>1861.2472314932288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BF64-DD4E-A939-3EF041D25B69}"/>
            </c:ext>
          </c:extLst>
        </c:ser>
        <c:ser>
          <c:idx val="16"/>
          <c:order val="16"/>
          <c:tx>
            <c:strRef>
              <c:f>'Fig D1-3 - NMC-Mn'!$A$19</c:f>
              <c:strCache>
                <c:ptCount val="1"/>
                <c:pt idx="0">
                  <c:v>Brazil_China_China</c:v>
                </c:pt>
              </c:strCache>
            </c:strRef>
          </c:tx>
          <c:spPr>
            <a:solidFill>
              <a:srgbClr val="009639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NMC-Mn'!$B$19:$E$19</c:f>
              <c:numCache>
                <c:formatCode>General</c:formatCode>
                <c:ptCount val="4"/>
                <c:pt idx="0">
                  <c:v>973.87935617231051</c:v>
                </c:pt>
                <c:pt idx="1">
                  <c:v>0</c:v>
                </c:pt>
                <c:pt idx="2">
                  <c:v>0</c:v>
                </c:pt>
                <c:pt idx="3">
                  <c:v>973.87935617231051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BF64-DD4E-A939-3EF041D25B69}"/>
            </c:ext>
          </c:extLst>
        </c:ser>
        <c:ser>
          <c:idx val="17"/>
          <c:order val="17"/>
          <c:tx>
            <c:strRef>
              <c:f>'Fig D1-3 - NMC-Mn'!$A$20</c:f>
              <c:strCache>
                <c:ptCount val="1"/>
                <c:pt idx="0">
                  <c:v>Gabon_China_China</c:v>
                </c:pt>
              </c:strCache>
            </c:strRef>
          </c:tx>
          <c:spPr>
            <a:solidFill>
              <a:srgbClr val="4C535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NMC-Mn'!$B$20:$E$20</c:f>
              <c:numCache>
                <c:formatCode>General</c:formatCode>
                <c:ptCount val="4"/>
                <c:pt idx="0">
                  <c:v>1644.210499154452</c:v>
                </c:pt>
                <c:pt idx="1">
                  <c:v>0</c:v>
                </c:pt>
                <c:pt idx="2">
                  <c:v>0</c:v>
                </c:pt>
                <c:pt idx="3">
                  <c:v>1644.210499154452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5-BF64-DD4E-A939-3EF041D25B69}"/>
            </c:ext>
          </c:extLst>
        </c:ser>
        <c:ser>
          <c:idx val="18"/>
          <c:order val="18"/>
          <c:tx>
            <c:strRef>
              <c:f>'Fig D1-3 - NMC-Mn'!$A$21</c:f>
              <c:strCache>
                <c:ptCount val="1"/>
                <c:pt idx="0">
                  <c:v>Ghana_China_China</c:v>
                </c:pt>
              </c:strCache>
            </c:strRef>
          </c:tx>
          <c:spPr>
            <a:solidFill>
              <a:srgbClr val="F2CB18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7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NMC-Mn'!$B$21:$E$21</c:f>
              <c:numCache>
                <c:formatCode>General</c:formatCode>
                <c:ptCount val="4"/>
                <c:pt idx="0">
                  <c:v>651.2128451283503</c:v>
                </c:pt>
                <c:pt idx="1">
                  <c:v>0</c:v>
                </c:pt>
                <c:pt idx="2">
                  <c:v>0</c:v>
                </c:pt>
                <c:pt idx="3">
                  <c:v>651.2128451283503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8-BF64-DD4E-A939-3EF041D25B69}"/>
            </c:ext>
          </c:extLst>
        </c:ser>
        <c:ser>
          <c:idx val="19"/>
          <c:order val="19"/>
          <c:tx>
            <c:strRef>
              <c:f>'Fig D1-3 - NMC-Mn'!$A$22</c:f>
              <c:strCache>
                <c:ptCount val="1"/>
                <c:pt idx="0">
                  <c:v>Kazakhstan_China_China</c:v>
                </c:pt>
              </c:strCache>
            </c:strRef>
          </c:tx>
          <c:spPr>
            <a:solidFill>
              <a:srgbClr val="09A9C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NMC-Mn'!$B$22:$E$22</c:f>
              <c:numCache>
                <c:formatCode>General</c:formatCode>
                <c:ptCount val="4"/>
                <c:pt idx="0">
                  <c:v>51.119107746038814</c:v>
                </c:pt>
                <c:pt idx="1">
                  <c:v>0</c:v>
                </c:pt>
                <c:pt idx="2">
                  <c:v>0</c:v>
                </c:pt>
                <c:pt idx="3">
                  <c:v>51.119107746038814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B-BF64-DD4E-A939-3EF041D25B69}"/>
            </c:ext>
          </c:extLst>
        </c:ser>
        <c:ser>
          <c:idx val="20"/>
          <c:order val="20"/>
          <c:tx>
            <c:strRef>
              <c:f>'Fig D1-3 - NMC-Mn'!$A$23</c:f>
              <c:strCache>
                <c:ptCount val="1"/>
                <c:pt idx="0">
                  <c:v>Malaysia_China_China</c:v>
                </c:pt>
              </c:strCache>
            </c:strRef>
          </c:tx>
          <c:spPr>
            <a:solidFill>
              <a:srgbClr val="00006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C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NMC-Mn'!$B$23:$E$23</c:f>
              <c:numCache>
                <c:formatCode>General</c:formatCode>
                <c:ptCount val="4"/>
                <c:pt idx="0">
                  <c:v>300.48477597582735</c:v>
                </c:pt>
                <c:pt idx="1">
                  <c:v>0</c:v>
                </c:pt>
                <c:pt idx="2">
                  <c:v>0</c:v>
                </c:pt>
                <c:pt idx="3">
                  <c:v>300.48477597582735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F-BF64-DD4E-A939-3EF041D25B69}"/>
            </c:ext>
          </c:extLst>
        </c:ser>
        <c:ser>
          <c:idx val="21"/>
          <c:order val="21"/>
          <c:tx>
            <c:strRef>
              <c:f>'Fig D1-3 - NMC-Mn'!$A$24</c:f>
              <c:strCache>
                <c:ptCount val="1"/>
                <c:pt idx="0">
                  <c:v>Mexico_China_China</c:v>
                </c:pt>
              </c:strCache>
            </c:strRef>
          </c:tx>
          <c:spPr>
            <a:solidFill>
              <a:srgbClr val="C8132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1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NMC-Mn'!$B$24:$E$24</c:f>
              <c:numCache>
                <c:formatCode>General</c:formatCode>
                <c:ptCount val="4"/>
                <c:pt idx="0">
                  <c:v>9.5229611179121374</c:v>
                </c:pt>
                <c:pt idx="1">
                  <c:v>0</c:v>
                </c:pt>
                <c:pt idx="2">
                  <c:v>0</c:v>
                </c:pt>
                <c:pt idx="3">
                  <c:v>9.5229611179121374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2-BF64-DD4E-A939-3EF041D25B69}"/>
            </c:ext>
          </c:extLst>
        </c:ser>
        <c:ser>
          <c:idx val="22"/>
          <c:order val="22"/>
          <c:tx>
            <c:strRef>
              <c:f>'Fig D1-3 - NMC-Mn'!$A$25</c:f>
              <c:strCache>
                <c:ptCount val="1"/>
                <c:pt idx="0">
                  <c:v>Myanmar_China_China</c:v>
                </c:pt>
              </c:strCache>
            </c:strRef>
          </c:tx>
          <c:spPr>
            <a:solidFill>
              <a:srgbClr val="32AC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4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NMC-Mn'!$B$25:$E$25</c:f>
              <c:numCache>
                <c:formatCode>General</c:formatCode>
                <c:ptCount val="4"/>
                <c:pt idx="0">
                  <c:v>195.25758664558595</c:v>
                </c:pt>
                <c:pt idx="1">
                  <c:v>0</c:v>
                </c:pt>
                <c:pt idx="2">
                  <c:v>0</c:v>
                </c:pt>
                <c:pt idx="3">
                  <c:v>195.25758664558595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5-BF64-DD4E-A939-3EF041D25B69}"/>
            </c:ext>
          </c:extLst>
        </c:ser>
        <c:ser>
          <c:idx val="23"/>
          <c:order val="23"/>
          <c:tx>
            <c:strRef>
              <c:f>'Fig D1-3 - NMC-Mn'!$A$26</c:f>
              <c:strCache>
                <c:ptCount val="1"/>
                <c:pt idx="0">
                  <c:v>SouthAfrica_China_China</c:v>
                </c:pt>
              </c:strCache>
            </c:strRef>
          </c:tx>
          <c:spPr>
            <a:solidFill>
              <a:srgbClr val="773F0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8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NMC-Mn'!$B$26:$E$26</c:f>
              <c:numCache>
                <c:formatCode>General</c:formatCode>
                <c:ptCount val="4"/>
                <c:pt idx="0">
                  <c:v>4779.8187311585034</c:v>
                </c:pt>
                <c:pt idx="1">
                  <c:v>0</c:v>
                </c:pt>
                <c:pt idx="2">
                  <c:v>0</c:v>
                </c:pt>
                <c:pt idx="3">
                  <c:v>4779.8187311585034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9-BF64-DD4E-A939-3EF041D25B69}"/>
            </c:ext>
          </c:extLst>
        </c:ser>
        <c:ser>
          <c:idx val="24"/>
          <c:order val="24"/>
          <c:tx>
            <c:strRef>
              <c:f>'Fig D1-3 - NMC-Mn'!$A$27</c:f>
              <c:strCache>
                <c:ptCount val="1"/>
                <c:pt idx="0">
                  <c:v>Brazil_USA_China</c:v>
                </c:pt>
              </c:strCache>
            </c:strRef>
          </c:tx>
          <c:spPr>
            <a:solidFill>
              <a:srgbClr val="009639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NMC-Mn'!$B$27:$E$27</c:f>
              <c:numCache>
                <c:formatCode>General</c:formatCode>
                <c:ptCount val="4"/>
                <c:pt idx="0">
                  <c:v>1.0891264230417131E-2</c:v>
                </c:pt>
                <c:pt idx="1">
                  <c:v>0</c:v>
                </c:pt>
                <c:pt idx="2">
                  <c:v>0</c:v>
                </c:pt>
                <c:pt idx="3">
                  <c:v>1.0891264230417131E-2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D-BF64-DD4E-A939-3EF041D25B69}"/>
            </c:ext>
          </c:extLst>
        </c:ser>
        <c:ser>
          <c:idx val="25"/>
          <c:order val="25"/>
          <c:tx>
            <c:strRef>
              <c:f>'Fig D1-3 - NMC-Mn'!$A$28</c:f>
              <c:strCache>
                <c:ptCount val="1"/>
                <c:pt idx="0">
                  <c:v>Gabon_USA_China</c:v>
                </c:pt>
              </c:strCache>
            </c:strRef>
          </c:tx>
          <c:spPr>
            <a:solidFill>
              <a:srgbClr val="4B535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F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NMC-Mn'!$B$28:$E$28</c:f>
              <c:numCache>
                <c:formatCode>General</c:formatCode>
                <c:ptCount val="4"/>
                <c:pt idx="0">
                  <c:v>4.2658501962308488</c:v>
                </c:pt>
                <c:pt idx="1">
                  <c:v>0</c:v>
                </c:pt>
                <c:pt idx="2">
                  <c:v>0</c:v>
                </c:pt>
                <c:pt idx="3">
                  <c:v>4.2658501962308488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0-BF64-DD4E-A939-3EF041D25B69}"/>
            </c:ext>
          </c:extLst>
        </c:ser>
        <c:ser>
          <c:idx val="26"/>
          <c:order val="26"/>
          <c:tx>
            <c:strRef>
              <c:f>'Fig D1-3 - NMC-Mn'!$A$29</c:f>
              <c:strCache>
                <c:ptCount val="1"/>
                <c:pt idx="0">
                  <c:v>Mexico_USA_China</c:v>
                </c:pt>
              </c:strCache>
            </c:strRef>
          </c:tx>
          <c:spPr>
            <a:solidFill>
              <a:srgbClr val="C8132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1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3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NMC-Mn'!$B$29:$E$29</c:f>
              <c:numCache>
                <c:formatCode>General</c:formatCode>
                <c:ptCount val="4"/>
                <c:pt idx="0">
                  <c:v>1.3892762727190313</c:v>
                </c:pt>
                <c:pt idx="1">
                  <c:v>0</c:v>
                </c:pt>
                <c:pt idx="2">
                  <c:v>0</c:v>
                </c:pt>
                <c:pt idx="3">
                  <c:v>1.3892762727190313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4-BF64-DD4E-A939-3EF041D25B69}"/>
            </c:ext>
          </c:extLst>
        </c:ser>
        <c:ser>
          <c:idx val="27"/>
          <c:order val="27"/>
          <c:tx>
            <c:strRef>
              <c:f>'Fig D1-3 - NMC-Mn'!$A$30</c:f>
              <c:strCache>
                <c:ptCount val="1"/>
                <c:pt idx="0">
                  <c:v>SouthAfrica_USA_China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6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NMC-Mn'!$B$30:$E$30</c:f>
              <c:numCache>
                <c:formatCode>General</c:formatCode>
                <c:ptCount val="4"/>
                <c:pt idx="0">
                  <c:v>1.5334624308218954</c:v>
                </c:pt>
                <c:pt idx="1">
                  <c:v>0</c:v>
                </c:pt>
                <c:pt idx="2">
                  <c:v>0</c:v>
                </c:pt>
                <c:pt idx="3">
                  <c:v>1.5334624308218954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7-BF64-DD4E-A939-3EF041D25B69}"/>
            </c:ext>
          </c:extLst>
        </c:ser>
        <c:ser>
          <c:idx val="28"/>
          <c:order val="28"/>
          <c:tx>
            <c:strRef>
              <c:f>'Fig D1-3 - NMC-Mn'!$A$31</c:f>
              <c:strCache>
                <c:ptCount val="1"/>
                <c:pt idx="0">
                  <c:v>Ukraine_USA_China</c:v>
                </c:pt>
              </c:strCache>
            </c:strRef>
          </c:tx>
          <c:spPr>
            <a:solidFill>
              <a:srgbClr val="F5CE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9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NMC-Mn'!$B$31:$E$31</c:f>
              <c:numCache>
                <c:formatCode>General</c:formatCode>
                <c:ptCount val="4"/>
                <c:pt idx="0">
                  <c:v>6.105410328081937E-4</c:v>
                </c:pt>
                <c:pt idx="1">
                  <c:v>0</c:v>
                </c:pt>
                <c:pt idx="2">
                  <c:v>0</c:v>
                </c:pt>
                <c:pt idx="3">
                  <c:v>6.105410328081937E-4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A-BF64-DD4E-A939-3EF041D25B69}"/>
            </c:ext>
          </c:extLst>
        </c:ser>
        <c:ser>
          <c:idx val="29"/>
          <c:order val="29"/>
          <c:tx>
            <c:strRef>
              <c:f>'Fig D1-3 - NMC-Mn'!$A$32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B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D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NMC-Mn'!$B$32:$E$32</c:f>
              <c:numCache>
                <c:formatCode>General</c:formatCode>
                <c:ptCount val="4"/>
                <c:pt idx="0">
                  <c:v>59.270503607398062</c:v>
                </c:pt>
                <c:pt idx="1">
                  <c:v>0</c:v>
                </c:pt>
                <c:pt idx="2">
                  <c:v>0</c:v>
                </c:pt>
                <c:pt idx="3">
                  <c:v>59.270503607398062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E-BF64-DD4E-A939-3EF041D25B69}"/>
            </c:ext>
          </c:extLst>
        </c:ser>
        <c:ser>
          <c:idx val="30"/>
          <c:order val="30"/>
          <c:tx>
            <c:strRef>
              <c:f>'Fig D1-3 - NMC-Mn'!$A$33</c:f>
              <c:strCache>
                <c:ptCount val="1"/>
                <c:pt idx="0">
                  <c:v>Australia_China_Japan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F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1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NMC-Mn'!$B$33:$E$33</c:f>
              <c:numCache>
                <c:formatCode>General</c:formatCode>
                <c:ptCount val="4"/>
                <c:pt idx="0">
                  <c:v>67.094244201220263</c:v>
                </c:pt>
                <c:pt idx="1">
                  <c:v>0</c:v>
                </c:pt>
                <c:pt idx="2">
                  <c:v>0</c:v>
                </c:pt>
                <c:pt idx="3">
                  <c:v>67.094244201220263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2-BF64-DD4E-A939-3EF041D25B69}"/>
            </c:ext>
          </c:extLst>
        </c:ser>
        <c:ser>
          <c:idx val="31"/>
          <c:order val="31"/>
          <c:tx>
            <c:strRef>
              <c:f>'Fig D1-3 - NMC-Mn'!$A$34</c:f>
              <c:strCache>
                <c:ptCount val="1"/>
                <c:pt idx="0">
                  <c:v>Brazil_China_Japan</c:v>
                </c:pt>
              </c:strCache>
            </c:strRef>
          </c:tx>
          <c:spPr>
            <a:solidFill>
              <a:srgbClr val="009639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3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5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NMC-Mn'!$B$34:$E$34</c:f>
              <c:numCache>
                <c:formatCode>General</c:formatCode>
                <c:ptCount val="4"/>
                <c:pt idx="0">
                  <c:v>35.106405124444571</c:v>
                </c:pt>
                <c:pt idx="1">
                  <c:v>0</c:v>
                </c:pt>
                <c:pt idx="2">
                  <c:v>0</c:v>
                </c:pt>
                <c:pt idx="3">
                  <c:v>35.106405124444571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6-BF64-DD4E-A939-3EF041D25B69}"/>
            </c:ext>
          </c:extLst>
        </c:ser>
        <c:ser>
          <c:idx val="32"/>
          <c:order val="32"/>
          <c:tx>
            <c:strRef>
              <c:f>'Fig D1-3 - NMC-Mn'!$A$35</c:f>
              <c:strCache>
                <c:ptCount val="1"/>
                <c:pt idx="0">
                  <c:v>Myanmar_China_Japan</c:v>
                </c:pt>
              </c:strCache>
            </c:strRef>
          </c:tx>
          <c:spPr>
            <a:solidFill>
              <a:srgbClr val="32AC32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8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NMC-Mn'!$B$35:$E$35</c:f>
              <c:numCache>
                <c:formatCode>General</c:formatCode>
                <c:ptCount val="4"/>
                <c:pt idx="0">
                  <c:v>55.664628035449816</c:v>
                </c:pt>
                <c:pt idx="1">
                  <c:v>0</c:v>
                </c:pt>
                <c:pt idx="2">
                  <c:v>0</c:v>
                </c:pt>
                <c:pt idx="3">
                  <c:v>55.664628035449816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9-BF64-DD4E-A939-3EF041D25B69}"/>
            </c:ext>
          </c:extLst>
        </c:ser>
        <c:ser>
          <c:idx val="33"/>
          <c:order val="33"/>
          <c:tx>
            <c:strRef>
              <c:f>'Fig D1-3 - NMC-Mn'!$A$36</c:f>
              <c:strCache>
                <c:ptCount val="1"/>
                <c:pt idx="0">
                  <c:v>Gabon_China_Japan</c:v>
                </c:pt>
              </c:strCache>
            </c:strRef>
          </c:tx>
          <c:spPr>
            <a:solidFill>
              <a:srgbClr val="4B535D"/>
            </a:solidFill>
            <a:ln w="9525" cmpd="sng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B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NMC-Mn'!$B$36:$E$36</c:f>
              <c:numCache>
                <c:formatCode>General</c:formatCode>
                <c:ptCount val="4"/>
                <c:pt idx="0">
                  <c:v>23.474922040829327</c:v>
                </c:pt>
                <c:pt idx="1">
                  <c:v>0</c:v>
                </c:pt>
                <c:pt idx="2">
                  <c:v>0</c:v>
                </c:pt>
                <c:pt idx="3">
                  <c:v>23.474922040829327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10000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C-BF64-DD4E-A939-3EF041D25B69}"/>
            </c:ext>
          </c:extLst>
        </c:ser>
        <c:ser>
          <c:idx val="34"/>
          <c:order val="34"/>
          <c:tx>
            <c:strRef>
              <c:f>'Fig D1-3 - NMC-Mn'!$A$37</c:f>
              <c:strCache>
                <c:ptCount val="1"/>
                <c:pt idx="0">
                  <c:v>Ghana_China_Japan</c:v>
                </c:pt>
              </c:strCache>
            </c:strRef>
          </c:tx>
          <c:spPr>
            <a:solidFill>
              <a:srgbClr val="F2CB18"/>
            </a:solidFill>
            <a:ln w="9525" cmpd="sng">
              <a:solidFill>
                <a:srgbClr val="000000">
                  <a:alpha val="10000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E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NMC-Mn'!$B$37:$E$37</c:f>
              <c:numCache>
                <c:formatCode>General</c:formatCode>
                <c:ptCount val="4"/>
                <c:pt idx="0">
                  <c:v>1.8427417058987823</c:v>
                </c:pt>
                <c:pt idx="1">
                  <c:v>0</c:v>
                </c:pt>
                <c:pt idx="2">
                  <c:v>0</c:v>
                </c:pt>
                <c:pt idx="3">
                  <c:v>1.8427417058987823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10000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F-BF64-DD4E-A939-3EF041D25B69}"/>
            </c:ext>
          </c:extLst>
        </c:ser>
        <c:ser>
          <c:idx val="35"/>
          <c:order val="35"/>
          <c:tx>
            <c:strRef>
              <c:f>'Fig D1-3 - NMC-Mn'!$A$38</c:f>
              <c:strCache>
                <c:ptCount val="1"/>
                <c:pt idx="0">
                  <c:v>Kazakhstan_China_Japan</c:v>
                </c:pt>
              </c:strCache>
            </c:strRef>
          </c:tx>
          <c:spPr>
            <a:solidFill>
              <a:srgbClr val="09A9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1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NMC-Mn'!$B$38:$E$38</c:f>
              <c:numCache>
                <c:formatCode>General</c:formatCode>
                <c:ptCount val="4"/>
                <c:pt idx="0">
                  <c:v>10.831875850204302</c:v>
                </c:pt>
                <c:pt idx="1">
                  <c:v>0</c:v>
                </c:pt>
                <c:pt idx="2">
                  <c:v>0</c:v>
                </c:pt>
                <c:pt idx="3">
                  <c:v>10.831875850204302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2-BF64-DD4E-A939-3EF041D25B69}"/>
            </c:ext>
          </c:extLst>
        </c:ser>
        <c:ser>
          <c:idx val="36"/>
          <c:order val="36"/>
          <c:tx>
            <c:strRef>
              <c:f>'Fig D1-3 - NMC-Mn'!$A$39</c:f>
              <c:strCache>
                <c:ptCount val="1"/>
                <c:pt idx="0">
                  <c:v>Malaysia_China_Japan</c:v>
                </c:pt>
              </c:strCache>
            </c:strRef>
          </c:tx>
          <c:spPr>
            <a:solidFill>
              <a:srgbClr val="00006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4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NMC-Mn'!$B$39:$E$39</c:f>
              <c:numCache>
                <c:formatCode>General</c:formatCode>
                <c:ptCount val="4"/>
                <c:pt idx="0">
                  <c:v>0.34328372284606234</c:v>
                </c:pt>
                <c:pt idx="1">
                  <c:v>0</c:v>
                </c:pt>
                <c:pt idx="2">
                  <c:v>0</c:v>
                </c:pt>
                <c:pt idx="3">
                  <c:v>0.34328372284606234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5-BF64-DD4E-A939-3EF041D25B69}"/>
            </c:ext>
          </c:extLst>
        </c:ser>
        <c:ser>
          <c:idx val="37"/>
          <c:order val="37"/>
          <c:tx>
            <c:strRef>
              <c:f>'Fig D1-3 - NMC-Mn'!$A$40</c:f>
              <c:strCache>
                <c:ptCount val="1"/>
                <c:pt idx="0">
                  <c:v>Mexico_China_Japan</c:v>
                </c:pt>
              </c:strCache>
            </c:strRef>
          </c:tx>
          <c:spPr>
            <a:solidFill>
              <a:srgbClr val="C8132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7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NMC-Mn'!$B$40:$E$40</c:f>
              <c:numCache>
                <c:formatCode>General</c:formatCode>
                <c:ptCount val="4"/>
                <c:pt idx="0">
                  <c:v>7.0386459030644515</c:v>
                </c:pt>
                <c:pt idx="1">
                  <c:v>0</c:v>
                </c:pt>
                <c:pt idx="2">
                  <c:v>0</c:v>
                </c:pt>
                <c:pt idx="3">
                  <c:v>7.0386459030644515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8-BF64-DD4E-A939-3EF041D25B69}"/>
            </c:ext>
          </c:extLst>
        </c:ser>
        <c:ser>
          <c:idx val="38"/>
          <c:order val="38"/>
          <c:tx>
            <c:strRef>
              <c:f>'Fig D1-3 - NMC-Mn'!$A$41</c:f>
              <c:strCache>
                <c:ptCount val="1"/>
                <c:pt idx="0">
                  <c:v>SouthAfrica_China_Japan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A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NMC-Mn'!$B$41:$E$41</c:f>
              <c:numCache>
                <c:formatCode>General</c:formatCode>
                <c:ptCount val="4"/>
                <c:pt idx="0">
                  <c:v>172.30291589399852</c:v>
                </c:pt>
                <c:pt idx="1">
                  <c:v>0</c:v>
                </c:pt>
                <c:pt idx="2">
                  <c:v>0</c:v>
                </c:pt>
                <c:pt idx="3">
                  <c:v>172.30291589399852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B-BF64-DD4E-A939-3EF041D25B69}"/>
            </c:ext>
          </c:extLst>
        </c:ser>
        <c:ser>
          <c:idx val="39"/>
          <c:order val="39"/>
          <c:tx>
            <c:strRef>
              <c:f>'Fig D1-3 - NMC-Mn'!$A$42</c:f>
              <c:strCache>
                <c:ptCount val="1"/>
                <c:pt idx="0">
                  <c:v>China_Japan_Japan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D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NMC-Mn'!$B$42:$E$42</c:f>
              <c:numCache>
                <c:formatCode>General</c:formatCode>
                <c:ptCount val="4"/>
                <c:pt idx="0">
                  <c:v>0.3016801147150025</c:v>
                </c:pt>
                <c:pt idx="1">
                  <c:v>0</c:v>
                </c:pt>
                <c:pt idx="2">
                  <c:v>0</c:v>
                </c:pt>
                <c:pt idx="3">
                  <c:v>0.3016801147150025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E-BF64-DD4E-A939-3EF041D25B69}"/>
            </c:ext>
          </c:extLst>
        </c:ser>
        <c:ser>
          <c:idx val="40"/>
          <c:order val="40"/>
          <c:tx>
            <c:strRef>
              <c:f>'Fig D1-3 - NMC-Mn'!$A$44</c:f>
              <c:strCache>
                <c:ptCount val="1"/>
                <c:pt idx="0">
                  <c:v>Australia_Japan_Japan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0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NMC-Mn'!$B$44:$E$44</c:f>
              <c:numCache>
                <c:formatCode>General</c:formatCode>
                <c:ptCount val="4"/>
                <c:pt idx="0">
                  <c:v>727.83755858116115</c:v>
                </c:pt>
                <c:pt idx="1">
                  <c:v>0</c:v>
                </c:pt>
                <c:pt idx="2">
                  <c:v>0</c:v>
                </c:pt>
                <c:pt idx="3">
                  <c:v>727.83755858116115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1-BF64-DD4E-A939-3EF041D25B69}"/>
            </c:ext>
          </c:extLst>
        </c:ser>
        <c:ser>
          <c:idx val="41"/>
          <c:order val="41"/>
          <c:tx>
            <c:strRef>
              <c:f>'Fig D1-3 - NMC-Mn'!$A$45</c:f>
              <c:strCache>
                <c:ptCount val="1"/>
                <c:pt idx="0">
                  <c:v>Gabon_Japan_Japan</c:v>
                </c:pt>
              </c:strCache>
            </c:strRef>
          </c:tx>
          <c:spPr>
            <a:solidFill>
              <a:srgbClr val="4C535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3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NMC-Mn'!$B$45:$E$45</c:f>
              <c:numCache>
                <c:formatCode>General</c:formatCode>
                <c:ptCount val="4"/>
                <c:pt idx="0">
                  <c:v>213.0341555524964</c:v>
                </c:pt>
                <c:pt idx="1">
                  <c:v>0</c:v>
                </c:pt>
                <c:pt idx="2">
                  <c:v>0</c:v>
                </c:pt>
                <c:pt idx="3">
                  <c:v>213.0341555524964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4-BF64-DD4E-A939-3EF041D25B69}"/>
            </c:ext>
          </c:extLst>
        </c:ser>
        <c:ser>
          <c:idx val="42"/>
          <c:order val="42"/>
          <c:tx>
            <c:strRef>
              <c:f>'Fig D1-3 - NMC-Mn'!$A$46</c:f>
              <c:strCache>
                <c:ptCount val="1"/>
                <c:pt idx="0">
                  <c:v>India_Japan_Japan</c:v>
                </c:pt>
              </c:strCache>
            </c:strRef>
          </c:tx>
          <c:spPr>
            <a:solidFill>
              <a:srgbClr val="FF993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6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NMC-Mn'!$B$46:$E$46</c:f>
              <c:numCache>
                <c:formatCode>General</c:formatCode>
                <c:ptCount val="4"/>
                <c:pt idx="0">
                  <c:v>0.16112460672278542</c:v>
                </c:pt>
                <c:pt idx="1">
                  <c:v>0</c:v>
                </c:pt>
                <c:pt idx="2">
                  <c:v>0</c:v>
                </c:pt>
                <c:pt idx="3">
                  <c:v>0.16112460672278542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7-BF64-DD4E-A939-3EF041D25B69}"/>
            </c:ext>
          </c:extLst>
        </c:ser>
        <c:ser>
          <c:idx val="43"/>
          <c:order val="43"/>
          <c:tx>
            <c:strRef>
              <c:f>'Fig D1-3 - NMC-Mn'!$A$47</c:f>
              <c:strCache>
                <c:ptCount val="1"/>
                <c:pt idx="0">
                  <c:v>SouthAfrica_Japan_Japan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9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NMC-Mn'!$B$47:$E$47</c:f>
              <c:numCache>
                <c:formatCode>General</c:formatCode>
                <c:ptCount val="4"/>
                <c:pt idx="0">
                  <c:v>1781.0405490655744</c:v>
                </c:pt>
                <c:pt idx="1">
                  <c:v>0</c:v>
                </c:pt>
                <c:pt idx="2">
                  <c:v>0</c:v>
                </c:pt>
                <c:pt idx="3">
                  <c:v>1781.0405490655744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A-BF64-DD4E-A939-3EF041D25B69}"/>
            </c:ext>
          </c:extLst>
        </c:ser>
        <c:ser>
          <c:idx val="44"/>
          <c:order val="44"/>
          <c:tx>
            <c:strRef>
              <c:f>'Fig D1-3 - NMC-Mn'!$A$48</c:f>
              <c:strCache>
                <c:ptCount val="1"/>
                <c:pt idx="0">
                  <c:v>Brazil_USA_Japan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C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NMC-Mn'!$B$48:$E$48</c:f>
              <c:numCache>
                <c:formatCode>General</c:formatCode>
                <c:ptCount val="4"/>
                <c:pt idx="0">
                  <c:v>4.0157002966768348E-4</c:v>
                </c:pt>
                <c:pt idx="1">
                  <c:v>0</c:v>
                </c:pt>
                <c:pt idx="2">
                  <c:v>0</c:v>
                </c:pt>
                <c:pt idx="3">
                  <c:v>4.0157002966768348E-4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D-BF64-DD4E-A939-3EF041D25B69}"/>
            </c:ext>
          </c:extLst>
        </c:ser>
        <c:ser>
          <c:idx val="45"/>
          <c:order val="45"/>
          <c:tx>
            <c:strRef>
              <c:f>'Fig D1-3 - NMC-Mn'!$A$49</c:f>
              <c:strCache>
                <c:ptCount val="1"/>
                <c:pt idx="0">
                  <c:v>Gabon_USA_Japan</c:v>
                </c:pt>
              </c:strCache>
            </c:strRef>
          </c:tx>
          <c:spPr>
            <a:solidFill>
              <a:srgbClr val="4C535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F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NMC-Mn'!$B$49:$E$49</c:f>
              <c:numCache>
                <c:formatCode>General</c:formatCode>
                <c:ptCount val="4"/>
                <c:pt idx="0">
                  <c:v>0.15728546784074363</c:v>
                </c:pt>
                <c:pt idx="1">
                  <c:v>0</c:v>
                </c:pt>
                <c:pt idx="2">
                  <c:v>0</c:v>
                </c:pt>
                <c:pt idx="3">
                  <c:v>0.15728546784074363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0-BF64-DD4E-A939-3EF041D25B69}"/>
            </c:ext>
          </c:extLst>
        </c:ser>
        <c:ser>
          <c:idx val="46"/>
          <c:order val="46"/>
          <c:tx>
            <c:strRef>
              <c:f>'Fig D1-3 - NMC-Mn'!$A$50</c:f>
              <c:strCache>
                <c:ptCount val="1"/>
                <c:pt idx="0">
                  <c:v>Mexico_USA_Japan</c:v>
                </c:pt>
              </c:strCache>
            </c:strRef>
          </c:tx>
          <c:spPr>
            <a:solidFill>
              <a:srgbClr val="C8132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2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NMC-Mn'!$B$50:$E$50</c:f>
              <c:numCache>
                <c:formatCode>General</c:formatCode>
                <c:ptCount val="4"/>
                <c:pt idx="0">
                  <c:v>5.122377919124483E-2</c:v>
                </c:pt>
                <c:pt idx="1">
                  <c:v>0</c:v>
                </c:pt>
                <c:pt idx="2">
                  <c:v>0</c:v>
                </c:pt>
                <c:pt idx="3">
                  <c:v>5.122377919124483E-2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3-BF64-DD4E-A939-3EF041D25B69}"/>
            </c:ext>
          </c:extLst>
        </c:ser>
        <c:ser>
          <c:idx val="47"/>
          <c:order val="47"/>
          <c:tx>
            <c:strRef>
              <c:f>'Fig D1-3 - NMC-Mn'!$A$51</c:f>
              <c:strCache>
                <c:ptCount val="1"/>
                <c:pt idx="0">
                  <c:v>SouthAfrica_USA_Japan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5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NMC-Mn'!$B$51:$E$51</c:f>
              <c:numCache>
                <c:formatCode>General</c:formatCode>
                <c:ptCount val="4"/>
                <c:pt idx="0">
                  <c:v>5.6540043544223324E-2</c:v>
                </c:pt>
                <c:pt idx="1">
                  <c:v>0</c:v>
                </c:pt>
                <c:pt idx="2">
                  <c:v>0</c:v>
                </c:pt>
                <c:pt idx="3">
                  <c:v>5.6540043544223324E-2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6-BF64-DD4E-A939-3EF041D25B69}"/>
            </c:ext>
          </c:extLst>
        </c:ser>
        <c:ser>
          <c:idx val="48"/>
          <c:order val="48"/>
          <c:tx>
            <c:strRef>
              <c:f>'Fig D1-3 - NMC-Mn'!$A$52</c:f>
              <c:strCache>
                <c:ptCount val="1"/>
                <c:pt idx="0">
                  <c:v>Ukraine_USA_Japan</c:v>
                </c:pt>
              </c:strCache>
            </c:strRef>
          </c:tx>
          <c:spPr>
            <a:solidFill>
              <a:srgbClr val="F5CE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8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NMC-Mn'!$B$52:$E$52</c:f>
              <c:numCache>
                <c:formatCode>General</c:formatCode>
                <c:ptCount val="4"/>
                <c:pt idx="0">
                  <c:v>2.2511158986796E-5</c:v>
                </c:pt>
                <c:pt idx="1">
                  <c:v>0</c:v>
                </c:pt>
                <c:pt idx="2">
                  <c:v>0</c:v>
                </c:pt>
                <c:pt idx="3">
                  <c:v>2.2511158986796E-5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9-BF64-DD4E-A939-3EF041D25B69}"/>
            </c:ext>
          </c:extLst>
        </c:ser>
        <c:ser>
          <c:idx val="49"/>
          <c:order val="49"/>
          <c:tx>
            <c:strRef>
              <c:f>'Fig D1-3 - NMC-Mn'!$A$53</c:f>
              <c:strCache>
                <c:ptCount val="1"/>
                <c:pt idx="0">
                  <c:v>Australia_India_Japan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B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NMC-Mn'!$B$53:$E$53</c:f>
              <c:numCache>
                <c:formatCode>General</c:formatCode>
                <c:ptCount val="4"/>
                <c:pt idx="0">
                  <c:v>3.4464703396838905</c:v>
                </c:pt>
                <c:pt idx="1">
                  <c:v>0</c:v>
                </c:pt>
                <c:pt idx="2">
                  <c:v>0</c:v>
                </c:pt>
                <c:pt idx="3">
                  <c:v>3.4464703396838905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C-BF64-DD4E-A939-3EF041D25B69}"/>
            </c:ext>
          </c:extLst>
        </c:ser>
        <c:ser>
          <c:idx val="50"/>
          <c:order val="50"/>
          <c:tx>
            <c:strRef>
              <c:f>'Fig D1-3 - NMC-Mn'!$A$54</c:f>
              <c:strCache>
                <c:ptCount val="1"/>
                <c:pt idx="0">
                  <c:v>Brazil_India_Japan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E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NMC-Mn'!$B$54:$E$54</c:f>
              <c:numCache>
                <c:formatCode>General</c:formatCode>
                <c:ptCount val="4"/>
                <c:pt idx="0">
                  <c:v>0.28168985199715757</c:v>
                </c:pt>
                <c:pt idx="1">
                  <c:v>0</c:v>
                </c:pt>
                <c:pt idx="2">
                  <c:v>0</c:v>
                </c:pt>
                <c:pt idx="3">
                  <c:v>0.28168985199715757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F-BF64-DD4E-A939-3EF041D25B69}"/>
            </c:ext>
          </c:extLst>
        </c:ser>
        <c:ser>
          <c:idx val="51"/>
          <c:order val="51"/>
          <c:tx>
            <c:strRef>
              <c:f>'Fig D1-3 - NMC-Mn'!$A$55</c:f>
              <c:strCache>
                <c:ptCount val="1"/>
                <c:pt idx="0">
                  <c:v>China_India_Japan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1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NMC-Mn'!$B$55:$E$55</c:f>
              <c:numCache>
                <c:formatCode>General</c:formatCode>
                <c:ptCount val="4"/>
                <c:pt idx="0">
                  <c:v>4.4873729267136168E-2</c:v>
                </c:pt>
                <c:pt idx="1">
                  <c:v>0</c:v>
                </c:pt>
                <c:pt idx="2">
                  <c:v>0</c:v>
                </c:pt>
                <c:pt idx="3">
                  <c:v>4.4873729267136168E-2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2-BF64-DD4E-A939-3EF041D25B69}"/>
            </c:ext>
          </c:extLst>
        </c:ser>
        <c:ser>
          <c:idx val="52"/>
          <c:order val="52"/>
          <c:tx>
            <c:strRef>
              <c:f>'Fig D1-3 - NMC-Mn'!$A$56</c:f>
              <c:strCache>
                <c:ptCount val="1"/>
                <c:pt idx="0">
                  <c:v>Gabon_India_Japan</c:v>
                </c:pt>
              </c:strCache>
            </c:strRef>
          </c:tx>
          <c:spPr>
            <a:solidFill>
              <a:srgbClr val="4C535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4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NMC-Mn'!$B$56:$E$56</c:f>
              <c:numCache>
                <c:formatCode>General</c:formatCode>
                <c:ptCount val="4"/>
                <c:pt idx="0">
                  <c:v>3.5567349825324182</c:v>
                </c:pt>
                <c:pt idx="1">
                  <c:v>0</c:v>
                </c:pt>
                <c:pt idx="2">
                  <c:v>0</c:v>
                </c:pt>
                <c:pt idx="3">
                  <c:v>3.5567349825324182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5-BF64-DD4E-A939-3EF041D25B69}"/>
            </c:ext>
          </c:extLst>
        </c:ser>
        <c:ser>
          <c:idx val="53"/>
          <c:order val="53"/>
          <c:tx>
            <c:strRef>
              <c:f>'Fig D1-3 - NMC-Mn'!$A$57</c:f>
              <c:strCache>
                <c:ptCount val="1"/>
                <c:pt idx="0">
                  <c:v>India_India_Japan</c:v>
                </c:pt>
              </c:strCache>
            </c:strRef>
          </c:tx>
          <c:spPr>
            <a:solidFill>
              <a:srgbClr val="FF993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7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NMC-Mn'!$B$57:$E$57</c:f>
              <c:numCache>
                <c:formatCode>General</c:formatCode>
                <c:ptCount val="4"/>
                <c:pt idx="0">
                  <c:v>13.346012839581691</c:v>
                </c:pt>
                <c:pt idx="1">
                  <c:v>0</c:v>
                </c:pt>
                <c:pt idx="2">
                  <c:v>0</c:v>
                </c:pt>
                <c:pt idx="3">
                  <c:v>13.346012839581691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8-BF64-DD4E-A939-3EF041D25B69}"/>
            </c:ext>
          </c:extLst>
        </c:ser>
        <c:ser>
          <c:idx val="54"/>
          <c:order val="54"/>
          <c:tx>
            <c:strRef>
              <c:f>'Fig D1-3 - NMC-Mn'!$A$58</c:f>
              <c:strCache>
                <c:ptCount val="1"/>
                <c:pt idx="0">
                  <c:v>SouthAfrica_India_Japan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A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NMC-Mn'!$B$58:$E$58</c:f>
              <c:numCache>
                <c:formatCode>General</c:formatCode>
                <c:ptCount val="4"/>
                <c:pt idx="0">
                  <c:v>10.352666107199713</c:v>
                </c:pt>
                <c:pt idx="1">
                  <c:v>0</c:v>
                </c:pt>
                <c:pt idx="2">
                  <c:v>0</c:v>
                </c:pt>
                <c:pt idx="3">
                  <c:v>10.352666107199713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B-BF64-DD4E-A939-3EF041D25B69}"/>
            </c:ext>
          </c:extLst>
        </c:ser>
        <c:ser>
          <c:idx val="55"/>
          <c:order val="55"/>
          <c:tx>
            <c:strRef>
              <c:f>'Fig D1-3 - NMC-Mn'!$A$59</c:f>
              <c:strCache>
                <c:ptCount val="1"/>
                <c:pt idx="0">
                  <c:v>Brazil_Colombia_Japan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D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NMC-Mn'!$B$59:$E$59</c:f>
              <c:numCache>
                <c:formatCode>General</c:formatCode>
                <c:ptCount val="4"/>
                <c:pt idx="0" formatCode="0.00">
                  <c:v>233.37704230637718</c:v>
                </c:pt>
                <c:pt idx="1">
                  <c:v>0</c:v>
                </c:pt>
                <c:pt idx="2">
                  <c:v>0</c:v>
                </c:pt>
                <c:pt idx="3" formatCode="0.00">
                  <c:v>233.37704230637718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E-BF64-DD4E-A939-3EF041D25B69}"/>
            </c:ext>
          </c:extLst>
        </c:ser>
        <c:ser>
          <c:idx val="56"/>
          <c:order val="56"/>
          <c:tx>
            <c:strRef>
              <c:f>'Fig D1-3 - NMC-Mn'!$A$60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9F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1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NMC-Mn'!$B$60:$E$60</c:f>
              <c:numCache>
                <c:formatCode>General</c:formatCode>
                <c:ptCount val="4"/>
                <c:pt idx="0">
                  <c:v>611.73800621870089</c:v>
                </c:pt>
                <c:pt idx="1">
                  <c:v>0</c:v>
                </c:pt>
                <c:pt idx="2">
                  <c:v>0</c:v>
                </c:pt>
                <c:pt idx="3">
                  <c:v>611.73800621870089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2-BF64-DD4E-A939-3EF041D25B69}"/>
            </c:ext>
          </c:extLst>
        </c:ser>
        <c:ser>
          <c:idx val="57"/>
          <c:order val="57"/>
          <c:tx>
            <c:strRef>
              <c:f>'Fig D1-3 - NMC-Mn'!$A$61</c:f>
              <c:strCache>
                <c:ptCount val="1"/>
                <c:pt idx="0">
                  <c:v>Australia_China_SK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4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NMC-Mn'!$B$61:$E$61</c:f>
              <c:numCache>
                <c:formatCode>General</c:formatCode>
                <c:ptCount val="4"/>
                <c:pt idx="0">
                  <c:v>692.48777517189933</c:v>
                </c:pt>
                <c:pt idx="1">
                  <c:v>0</c:v>
                </c:pt>
                <c:pt idx="2">
                  <c:v>0</c:v>
                </c:pt>
                <c:pt idx="3">
                  <c:v>692.48777517189933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5-BF64-DD4E-A939-3EF041D25B69}"/>
            </c:ext>
          </c:extLst>
        </c:ser>
        <c:ser>
          <c:idx val="58"/>
          <c:order val="58"/>
          <c:tx>
            <c:strRef>
              <c:f>'Fig D1-3 - NMC-Mn'!$A$62</c:f>
              <c:strCache>
                <c:ptCount val="1"/>
                <c:pt idx="0">
                  <c:v>Brazil_China_SK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7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NMC-Mn'!$B$62:$E$62</c:f>
              <c:numCache>
                <c:formatCode>General</c:formatCode>
                <c:ptCount val="4"/>
                <c:pt idx="0">
                  <c:v>362.33743547360569</c:v>
                </c:pt>
                <c:pt idx="1">
                  <c:v>0</c:v>
                </c:pt>
                <c:pt idx="2">
                  <c:v>0</c:v>
                </c:pt>
                <c:pt idx="3">
                  <c:v>362.33743547360569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8-BF64-DD4E-A939-3EF041D25B69}"/>
            </c:ext>
          </c:extLst>
        </c:ser>
        <c:ser>
          <c:idx val="59"/>
          <c:order val="59"/>
          <c:tx>
            <c:strRef>
              <c:f>'Fig D1-3 - NMC-Mn'!$A$63</c:f>
              <c:strCache>
                <c:ptCount val="1"/>
                <c:pt idx="0">
                  <c:v>Myanmar_China_SK</c:v>
                </c:pt>
              </c:strCache>
            </c:strRef>
          </c:tx>
          <c:spPr>
            <a:solidFill>
              <a:srgbClr val="32AC3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A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NMC-Mn'!$B$63:$E$63</c:f>
              <c:numCache>
                <c:formatCode>General</c:formatCode>
                <c:ptCount val="4"/>
                <c:pt idx="0">
                  <c:v>574.52133015217589</c:v>
                </c:pt>
                <c:pt idx="1">
                  <c:v>0</c:v>
                </c:pt>
                <c:pt idx="2">
                  <c:v>0</c:v>
                </c:pt>
                <c:pt idx="3">
                  <c:v>574.52133015217589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B-BF64-DD4E-A939-3EF041D25B69}"/>
            </c:ext>
          </c:extLst>
        </c:ser>
        <c:ser>
          <c:idx val="60"/>
          <c:order val="60"/>
          <c:tx>
            <c:strRef>
              <c:f>'Fig D1-3 - NMC-Mn'!$A$64</c:f>
              <c:strCache>
                <c:ptCount val="1"/>
                <c:pt idx="0">
                  <c:v>Gabon_China_SK</c:v>
                </c:pt>
              </c:strCache>
            </c:strRef>
          </c:tx>
          <c:spPr>
            <a:solidFill>
              <a:srgbClr val="4C535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D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NMC-Mn'!$B$64:$E$64</c:f>
              <c:numCache>
                <c:formatCode>General</c:formatCode>
                <c:ptCount val="4"/>
                <c:pt idx="0">
                  <c:v>242.28749768213396</c:v>
                </c:pt>
                <c:pt idx="1">
                  <c:v>0</c:v>
                </c:pt>
                <c:pt idx="2">
                  <c:v>0</c:v>
                </c:pt>
                <c:pt idx="3">
                  <c:v>242.28749768213396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E-BF64-DD4E-A939-3EF041D25B69}"/>
            </c:ext>
          </c:extLst>
        </c:ser>
        <c:ser>
          <c:idx val="61"/>
          <c:order val="61"/>
          <c:tx>
            <c:strRef>
              <c:f>'Fig D1-3 - NMC-Mn'!$A$65</c:f>
              <c:strCache>
                <c:ptCount val="1"/>
                <c:pt idx="0">
                  <c:v>Ghana_China_SK</c:v>
                </c:pt>
              </c:strCache>
            </c:strRef>
          </c:tx>
          <c:spPr>
            <a:solidFill>
              <a:srgbClr val="F2CB18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0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NMC-Mn'!$B$65:$E$65</c:f>
              <c:numCache>
                <c:formatCode>General</c:formatCode>
                <c:ptCount val="4"/>
                <c:pt idx="0">
                  <c:v>19.01915908475365</c:v>
                </c:pt>
                <c:pt idx="1">
                  <c:v>0</c:v>
                </c:pt>
                <c:pt idx="2">
                  <c:v>0</c:v>
                </c:pt>
                <c:pt idx="3">
                  <c:v>19.01915908475365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1-BF64-DD4E-A939-3EF041D25B69}"/>
            </c:ext>
          </c:extLst>
        </c:ser>
        <c:ser>
          <c:idx val="62"/>
          <c:order val="62"/>
          <c:tx>
            <c:strRef>
              <c:f>'Fig D1-3 - NMC-Mn'!$A$66</c:f>
              <c:strCache>
                <c:ptCount val="1"/>
                <c:pt idx="0">
                  <c:v>Kazakhstan_China_SK</c:v>
                </c:pt>
              </c:strCache>
            </c:strRef>
          </c:tx>
          <c:spPr>
            <a:solidFill>
              <a:srgbClr val="09A9C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3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NMC-Mn'!$B$66:$E$66</c:f>
              <c:numCache>
                <c:formatCode>General</c:formatCode>
                <c:ptCount val="4"/>
                <c:pt idx="0">
                  <c:v>111.79709523145327</c:v>
                </c:pt>
                <c:pt idx="1">
                  <c:v>0</c:v>
                </c:pt>
                <c:pt idx="2">
                  <c:v>0</c:v>
                </c:pt>
                <c:pt idx="3">
                  <c:v>111.79709523145327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4-BF64-DD4E-A939-3EF041D25B69}"/>
            </c:ext>
          </c:extLst>
        </c:ser>
        <c:ser>
          <c:idx val="63"/>
          <c:order val="63"/>
          <c:tx>
            <c:strRef>
              <c:f>'Fig D1-3 - NMC-Mn'!$A$67</c:f>
              <c:strCache>
                <c:ptCount val="1"/>
                <c:pt idx="0">
                  <c:v>Malaysia_China_SK</c:v>
                </c:pt>
              </c:strCache>
            </c:strRef>
          </c:tx>
          <c:spPr>
            <a:solidFill>
              <a:srgbClr val="00006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6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NMC-Mn'!$B$67:$E$67</c:f>
              <c:numCache>
                <c:formatCode>General</c:formatCode>
                <c:ptCount val="4"/>
                <c:pt idx="0">
                  <c:v>3.5430726482805088</c:v>
                </c:pt>
                <c:pt idx="1">
                  <c:v>0</c:v>
                </c:pt>
                <c:pt idx="2">
                  <c:v>0</c:v>
                </c:pt>
                <c:pt idx="3">
                  <c:v>3.5430726482805088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7-BF64-DD4E-A939-3EF041D25B69}"/>
            </c:ext>
          </c:extLst>
        </c:ser>
        <c:ser>
          <c:idx val="64"/>
          <c:order val="64"/>
          <c:tx>
            <c:strRef>
              <c:f>'Fig D1-3 - NMC-Mn'!$A$68</c:f>
              <c:strCache>
                <c:ptCount val="1"/>
                <c:pt idx="0">
                  <c:v>Mexico_China_SK</c:v>
                </c:pt>
              </c:strCache>
            </c:strRef>
          </c:tx>
          <c:spPr>
            <a:solidFill>
              <a:srgbClr val="C8132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9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NMC-Mn'!$B$68:$E$68</c:f>
              <c:numCache>
                <c:formatCode>General</c:formatCode>
                <c:ptCount val="4"/>
                <c:pt idx="0">
                  <c:v>72.646712093781332</c:v>
                </c:pt>
                <c:pt idx="1">
                  <c:v>0</c:v>
                </c:pt>
                <c:pt idx="2">
                  <c:v>0</c:v>
                </c:pt>
                <c:pt idx="3">
                  <c:v>72.646712093781332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A-BF64-DD4E-A939-3EF041D25B69}"/>
            </c:ext>
          </c:extLst>
        </c:ser>
        <c:ser>
          <c:idx val="65"/>
          <c:order val="65"/>
          <c:tx>
            <c:strRef>
              <c:f>'Fig D1-3 - NMC-Mn'!$A$69</c:f>
              <c:strCache>
                <c:ptCount val="1"/>
                <c:pt idx="0">
                  <c:v>SouthAfrica_China_SK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BB-BF64-DD4E-A939-3EF041D25B69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D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NMC-Mn'!$B$69:$E$69</c:f>
              <c:numCache>
                <c:formatCode>General</c:formatCode>
                <c:ptCount val="4"/>
                <c:pt idx="0">
                  <c:v>1778.3591469519208</c:v>
                </c:pt>
                <c:pt idx="1">
                  <c:v>0</c:v>
                </c:pt>
                <c:pt idx="2">
                  <c:v>0</c:v>
                </c:pt>
                <c:pt idx="3">
                  <c:v>1778.3591469519208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E-BF64-DD4E-A939-3EF041D25B69}"/>
            </c:ext>
          </c:extLst>
        </c:ser>
        <c:ser>
          <c:idx val="66"/>
          <c:order val="66"/>
          <c:tx>
            <c:strRef>
              <c:f>'Fig D1-3 - NMC-Mn'!$A$70</c:f>
              <c:strCache>
                <c:ptCount val="1"/>
                <c:pt idx="0">
                  <c:v>Australia_Japan_SK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0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NMC-Mn'!$B$70:$E$70</c:f>
              <c:numCache>
                <c:formatCode>General</c:formatCode>
                <c:ptCount val="4"/>
                <c:pt idx="0">
                  <c:v>262.25871689265091</c:v>
                </c:pt>
                <c:pt idx="1">
                  <c:v>0</c:v>
                </c:pt>
                <c:pt idx="2">
                  <c:v>0</c:v>
                </c:pt>
                <c:pt idx="3">
                  <c:v>262.25871689265091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1-BF64-DD4E-A939-3EF041D25B69}"/>
            </c:ext>
          </c:extLst>
        </c:ser>
        <c:ser>
          <c:idx val="67"/>
          <c:order val="67"/>
          <c:tx>
            <c:strRef>
              <c:f>'Fig D1-3 - NMC-Mn'!$A$71</c:f>
              <c:strCache>
                <c:ptCount val="1"/>
                <c:pt idx="0">
                  <c:v>Brazil_Japan_SK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3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NMC-Mn'!$B$71:$E$71</c:f>
              <c:numCache>
                <c:formatCode>General</c:formatCode>
                <c:ptCount val="4"/>
                <c:pt idx="0">
                  <c:v>0.20011262840473579</c:v>
                </c:pt>
                <c:pt idx="1">
                  <c:v>0</c:v>
                </c:pt>
                <c:pt idx="2">
                  <c:v>0</c:v>
                </c:pt>
                <c:pt idx="3">
                  <c:v>0.20011262840473579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4-BF64-DD4E-A939-3EF041D25B69}"/>
            </c:ext>
          </c:extLst>
        </c:ser>
        <c:ser>
          <c:idx val="68"/>
          <c:order val="68"/>
          <c:tx>
            <c:strRef>
              <c:f>'Fig D1-3 - NMC-Mn'!$A$72</c:f>
              <c:strCache>
                <c:ptCount val="1"/>
                <c:pt idx="0">
                  <c:v>China_Japan_SK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6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NMC-Mn'!$B$72:$E$72</c:f>
              <c:numCache>
                <c:formatCode>General</c:formatCode>
                <c:ptCount val="4"/>
                <c:pt idx="0">
                  <c:v>0.10870315617047376</c:v>
                </c:pt>
                <c:pt idx="1">
                  <c:v>0</c:v>
                </c:pt>
                <c:pt idx="2">
                  <c:v>0</c:v>
                </c:pt>
                <c:pt idx="3">
                  <c:v>0.10870315617047376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7-BF64-DD4E-A939-3EF041D25B69}"/>
            </c:ext>
          </c:extLst>
        </c:ser>
        <c:ser>
          <c:idx val="69"/>
          <c:order val="69"/>
          <c:tx>
            <c:strRef>
              <c:f>'Fig D1-3 - NMC-Mn'!$A$73</c:f>
              <c:strCache>
                <c:ptCount val="1"/>
                <c:pt idx="0">
                  <c:v>Gabon_Japan_SK</c:v>
                </c:pt>
              </c:strCache>
            </c:strRef>
          </c:tx>
          <c:spPr>
            <a:solidFill>
              <a:srgbClr val="4C535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9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NMC-Mn'!$B$73:$E$73</c:f>
              <c:numCache>
                <c:formatCode>General</c:formatCode>
                <c:ptCount val="4"/>
                <c:pt idx="0">
                  <c:v>76.76172194029067</c:v>
                </c:pt>
                <c:pt idx="1">
                  <c:v>0</c:v>
                </c:pt>
                <c:pt idx="2">
                  <c:v>0</c:v>
                </c:pt>
                <c:pt idx="3">
                  <c:v>76.76172194029067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A-BF64-DD4E-A939-3EF041D25B69}"/>
            </c:ext>
          </c:extLst>
        </c:ser>
        <c:ser>
          <c:idx val="70"/>
          <c:order val="70"/>
          <c:tx>
            <c:strRef>
              <c:f>'Fig D1-3 - NMC-Mn'!$A$74</c:f>
              <c:strCache>
                <c:ptCount val="1"/>
                <c:pt idx="0">
                  <c:v>India_Japan_SK</c:v>
                </c:pt>
              </c:strCache>
            </c:strRef>
          </c:tx>
          <c:spPr>
            <a:solidFill>
              <a:srgbClr val="FF993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NMC-Mn'!$B$74:$E$74</c:f>
              <c:numCache>
                <c:formatCode>General</c:formatCode>
                <c:ptCount val="4"/>
                <c:pt idx="0">
                  <c:v>5.8057367500139394E-2</c:v>
                </c:pt>
                <c:pt idx="1">
                  <c:v>0</c:v>
                </c:pt>
                <c:pt idx="2">
                  <c:v>0</c:v>
                </c:pt>
                <c:pt idx="3">
                  <c:v>5.8057367500139394E-2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B-BF64-DD4E-A939-3EF041D25B69}"/>
            </c:ext>
          </c:extLst>
        </c:ser>
        <c:ser>
          <c:idx val="71"/>
          <c:order val="71"/>
          <c:tx>
            <c:strRef>
              <c:f>'Fig D1-3 - NMC-Mn'!$A$75</c:f>
              <c:strCache>
                <c:ptCount val="1"/>
                <c:pt idx="0">
                  <c:v>SouthAfrica_Japan_SK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D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NMC-Mn'!$B$75:$E$75</c:f>
              <c:numCache>
                <c:formatCode>General</c:formatCode>
                <c:ptCount val="4"/>
                <c:pt idx="0">
                  <c:v>641.75502297829621</c:v>
                </c:pt>
                <c:pt idx="1">
                  <c:v>0</c:v>
                </c:pt>
                <c:pt idx="2">
                  <c:v>0</c:v>
                </c:pt>
                <c:pt idx="3">
                  <c:v>641.75502297829621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E-BF64-DD4E-A939-3EF041D25B69}"/>
            </c:ext>
          </c:extLst>
        </c:ser>
        <c:ser>
          <c:idx val="72"/>
          <c:order val="72"/>
          <c:tx>
            <c:strRef>
              <c:f>'Fig D1-3 - NMC-Mn'!$A$76</c:f>
              <c:strCache>
                <c:ptCount val="1"/>
                <c:pt idx="0">
                  <c:v>Brazil_USA_SK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NMC-Mn'!$B$76:$E$76</c:f>
              <c:numCache>
                <c:formatCode>General</c:formatCode>
                <c:ptCount val="4"/>
                <c:pt idx="0">
                  <c:v>0.40129047021117142</c:v>
                </c:pt>
                <c:pt idx="1">
                  <c:v>0</c:v>
                </c:pt>
                <c:pt idx="2">
                  <c:v>0</c:v>
                </c:pt>
                <c:pt idx="3">
                  <c:v>0.40129047021117142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F-BF64-DD4E-A939-3EF041D25B69}"/>
            </c:ext>
          </c:extLst>
        </c:ser>
        <c:ser>
          <c:idx val="73"/>
          <c:order val="73"/>
          <c:tx>
            <c:strRef>
              <c:f>'Fig D1-3 - NMC-Mn'!$A$77</c:f>
              <c:strCache>
                <c:ptCount val="1"/>
                <c:pt idx="0">
                  <c:v>Gabon_USA_SK</c:v>
                </c:pt>
              </c:strCache>
            </c:strRef>
          </c:tx>
          <c:spPr>
            <a:solidFill>
              <a:srgbClr val="4C535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1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NMC-Mn'!$B$77:$E$77</c:f>
              <c:numCache>
                <c:formatCode>General</c:formatCode>
                <c:ptCount val="4"/>
                <c:pt idx="0">
                  <c:v>157.17597102410323</c:v>
                </c:pt>
                <c:pt idx="1">
                  <c:v>0</c:v>
                </c:pt>
                <c:pt idx="2">
                  <c:v>0</c:v>
                </c:pt>
                <c:pt idx="3">
                  <c:v>157.17597102410323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2-BF64-DD4E-A939-3EF041D25B69}"/>
            </c:ext>
          </c:extLst>
        </c:ser>
        <c:ser>
          <c:idx val="74"/>
          <c:order val="74"/>
          <c:tx>
            <c:strRef>
              <c:f>'Fig D1-3 - NMC-Mn'!$A$78</c:f>
              <c:strCache>
                <c:ptCount val="1"/>
                <c:pt idx="0">
                  <c:v>Mexico_USA_SK</c:v>
                </c:pt>
              </c:strCache>
            </c:strRef>
          </c:tx>
          <c:spPr>
            <a:solidFill>
              <a:srgbClr val="C8132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4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NMC-Mn'!$B$78:$E$78</c:f>
              <c:numCache>
                <c:formatCode>General</c:formatCode>
                <c:ptCount val="4"/>
                <c:pt idx="0">
                  <c:v>51.188118930734227</c:v>
                </c:pt>
                <c:pt idx="1">
                  <c:v>0</c:v>
                </c:pt>
                <c:pt idx="2">
                  <c:v>0</c:v>
                </c:pt>
                <c:pt idx="3">
                  <c:v>51.188118930734227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5-BF64-DD4E-A939-3EF041D25B69}"/>
            </c:ext>
          </c:extLst>
        </c:ser>
        <c:ser>
          <c:idx val="75"/>
          <c:order val="75"/>
          <c:tx>
            <c:strRef>
              <c:f>'Fig D1-3 - NMC-Mn'!$A$79</c:f>
              <c:strCache>
                <c:ptCount val="1"/>
                <c:pt idx="0">
                  <c:v>SouthAfrica_USA_SK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7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NMC-Mn'!$B$79:$E$79</c:f>
              <c:numCache>
                <c:formatCode>General</c:formatCode>
                <c:ptCount val="4"/>
                <c:pt idx="0">
                  <c:v>56.50068228049188</c:v>
                </c:pt>
                <c:pt idx="1">
                  <c:v>0</c:v>
                </c:pt>
                <c:pt idx="2">
                  <c:v>0</c:v>
                </c:pt>
                <c:pt idx="3">
                  <c:v>56.50068228049188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8-BF64-DD4E-A939-3EF041D25B69}"/>
            </c:ext>
          </c:extLst>
        </c:ser>
        <c:ser>
          <c:idx val="76"/>
          <c:order val="76"/>
          <c:tx>
            <c:strRef>
              <c:f>'Fig D1-3 - NMC-Mn'!$A$80</c:f>
              <c:strCache>
                <c:ptCount val="1"/>
                <c:pt idx="0">
                  <c:v>Ukraine_USA_SK</c:v>
                </c:pt>
              </c:strCache>
            </c:strRef>
          </c:tx>
          <c:spPr>
            <a:solidFill>
              <a:srgbClr val="F5CE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NMC-Mn'!$B$80:$E$80</c:f>
              <c:numCache>
                <c:formatCode>General</c:formatCode>
                <c:ptCount val="4"/>
                <c:pt idx="0">
                  <c:v>2.2495487480192249E-2</c:v>
                </c:pt>
                <c:pt idx="1">
                  <c:v>0</c:v>
                </c:pt>
                <c:pt idx="2">
                  <c:v>0</c:v>
                </c:pt>
                <c:pt idx="3">
                  <c:v>2.2495487480192249E-2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9-BF64-DD4E-A939-3EF041D25B69}"/>
            </c:ext>
          </c:extLst>
        </c:ser>
        <c:ser>
          <c:idx val="77"/>
          <c:order val="77"/>
          <c:tx>
            <c:strRef>
              <c:f>'Fig D1-3 - NMC-Mn'!$A$81</c:f>
              <c:strCache>
                <c:ptCount val="1"/>
                <c:pt idx="0">
                  <c:v>Australia_India_SK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NMC-Mn'!$B$81:$E$81</c:f>
              <c:numCache>
                <c:formatCode>General</c:formatCode>
                <c:ptCount val="4"/>
                <c:pt idx="0">
                  <c:v>4.933900314956615</c:v>
                </c:pt>
                <c:pt idx="1">
                  <c:v>0</c:v>
                </c:pt>
                <c:pt idx="2">
                  <c:v>0</c:v>
                </c:pt>
                <c:pt idx="3">
                  <c:v>4.933900314956615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A-BF64-DD4E-A939-3EF041D25B69}"/>
            </c:ext>
          </c:extLst>
        </c:ser>
        <c:ser>
          <c:idx val="78"/>
          <c:order val="78"/>
          <c:tx>
            <c:strRef>
              <c:f>'Fig D1-3 - NMC-Mn'!$A$82</c:f>
              <c:strCache>
                <c:ptCount val="1"/>
                <c:pt idx="0">
                  <c:v>Brazil_India_SK</c:v>
                </c:pt>
              </c:strCache>
            </c:strRef>
          </c:tx>
          <c:spPr>
            <a:solidFill>
              <a:srgbClr val="009639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NMC-Mn'!$B$82:$E$82</c:f>
              <c:numCache>
                <c:formatCode>General</c:formatCode>
                <c:ptCount val="4"/>
                <c:pt idx="0">
                  <c:v>0.40326174680392957</c:v>
                </c:pt>
                <c:pt idx="1">
                  <c:v>0</c:v>
                </c:pt>
                <c:pt idx="2">
                  <c:v>0</c:v>
                </c:pt>
                <c:pt idx="3">
                  <c:v>0.40326174680392957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B-BF64-DD4E-A939-3EF041D25B69}"/>
            </c:ext>
          </c:extLst>
        </c:ser>
        <c:ser>
          <c:idx val="79"/>
          <c:order val="79"/>
          <c:tx>
            <c:strRef>
              <c:f>'Fig D1-3 - NMC-Mn'!$A$83</c:f>
              <c:strCache>
                <c:ptCount val="1"/>
                <c:pt idx="0">
                  <c:v>China_India_SK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D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NMC-Mn'!$B$83:$E$83</c:f>
              <c:numCache>
                <c:formatCode>General</c:formatCode>
                <c:ptCount val="4"/>
                <c:pt idx="0">
                  <c:v>6.4240363369762243E-2</c:v>
                </c:pt>
                <c:pt idx="1">
                  <c:v>0</c:v>
                </c:pt>
                <c:pt idx="2">
                  <c:v>0</c:v>
                </c:pt>
                <c:pt idx="3">
                  <c:v>6.4240363369762243E-2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E-BF64-DD4E-A939-3EF041D25B69}"/>
            </c:ext>
          </c:extLst>
        </c:ser>
        <c:ser>
          <c:idx val="80"/>
          <c:order val="80"/>
          <c:tx>
            <c:strRef>
              <c:f>'Fig D1-3 - NMC-Mn'!$A$84</c:f>
              <c:strCache>
                <c:ptCount val="1"/>
                <c:pt idx="0">
                  <c:v>Gabon_India_SK</c:v>
                </c:pt>
              </c:strCache>
            </c:strRef>
          </c:tx>
          <c:spPr>
            <a:solidFill>
              <a:srgbClr val="4C535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E0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NMC-Mn'!$B$84:$E$84</c:f>
              <c:numCache>
                <c:formatCode>General</c:formatCode>
                <c:ptCount val="4"/>
                <c:pt idx="0">
                  <c:v>5.0917530461450191</c:v>
                </c:pt>
                <c:pt idx="1">
                  <c:v>0</c:v>
                </c:pt>
                <c:pt idx="2">
                  <c:v>0</c:v>
                </c:pt>
                <c:pt idx="3">
                  <c:v>5.0917530461450191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E1-BF64-DD4E-A939-3EF041D25B69}"/>
            </c:ext>
          </c:extLst>
        </c:ser>
        <c:ser>
          <c:idx val="81"/>
          <c:order val="81"/>
          <c:tx>
            <c:strRef>
              <c:f>'Fig D1-3 - NMC-Mn'!$A$85</c:f>
              <c:strCache>
                <c:ptCount val="1"/>
                <c:pt idx="0">
                  <c:v>India_India_SK</c:v>
                </c:pt>
              </c:strCache>
            </c:strRef>
          </c:tx>
          <c:spPr>
            <a:solidFill>
              <a:srgbClr val="FF993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E3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NMC-Mn'!$B$85:$E$85</c:f>
              <c:numCache>
                <c:formatCode>General</c:formatCode>
                <c:ptCount val="4"/>
                <c:pt idx="0">
                  <c:v>19.105893990855204</c:v>
                </c:pt>
                <c:pt idx="1">
                  <c:v>0</c:v>
                </c:pt>
                <c:pt idx="2">
                  <c:v>0</c:v>
                </c:pt>
                <c:pt idx="3">
                  <c:v>19.105893990855204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E4-BF64-DD4E-A939-3EF041D25B69}"/>
            </c:ext>
          </c:extLst>
        </c:ser>
        <c:ser>
          <c:idx val="82"/>
          <c:order val="82"/>
          <c:tx>
            <c:strRef>
              <c:f>'Fig D1-3 - NMC-Mn'!$A$86</c:f>
              <c:strCache>
                <c:ptCount val="1"/>
                <c:pt idx="0">
                  <c:v>SouthAfrica_India_SK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E6-BF64-DD4E-A939-3EF041D25B69}"/>
              </c:ext>
            </c:extLst>
          </c:dPt>
          <c:cat>
            <c:strRef>
              <c:f>'Fig D1-3 - NMC-Mn'!$B$2:$E$2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NMC-Mn'!$B$86:$E$86</c:f>
              <c:numCache>
                <c:formatCode>General</c:formatCode>
                <c:ptCount val="4"/>
                <c:pt idx="0">
                  <c:v>14.820676672829947</c:v>
                </c:pt>
                <c:pt idx="1">
                  <c:v>0</c:v>
                </c:pt>
                <c:pt idx="2">
                  <c:v>0</c:v>
                </c:pt>
                <c:pt idx="3">
                  <c:v>14.820676672829947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E7-BF64-DD4E-A939-3EF041D25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23486531"/>
        <c:axId val="1323644882"/>
      </c:barChart>
      <c:catAx>
        <c:axId val="8234865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323644882"/>
        <c:crosses val="autoZero"/>
        <c:auto val="1"/>
        <c:lblAlgn val="ctr"/>
        <c:lblOffset val="100"/>
        <c:noMultiLvlLbl val="1"/>
      </c:catAx>
      <c:valAx>
        <c:axId val="132364488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3486531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D1-3 - NMC-Mn'!$AB$3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NMC-Mn'!$AC$3:$AF$3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12053.315000000001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62B-9D40-B115-18C8CDF84008}"/>
            </c:ext>
          </c:extLst>
        </c:ser>
        <c:ser>
          <c:idx val="1"/>
          <c:order val="1"/>
          <c:tx>
            <c:strRef>
              <c:f>'Fig D1-3 - NMC-Mn'!$AB$4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1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1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NMC-Mn'!$AC$4:$AF$4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3455.752708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762B-9D40-B115-18C8CDF84008}"/>
            </c:ext>
          </c:extLst>
        </c:ser>
        <c:ser>
          <c:idx val="2"/>
          <c:order val="2"/>
          <c:tx>
            <c:strRef>
              <c:f>'Fig D1-3 - NMC-Mn'!$AB$5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3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NMC-Mn'!$AC$5:$AF$5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5759.5878460000004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762B-9D40-B115-18C8CDF84008}"/>
            </c:ext>
          </c:extLst>
        </c:ser>
        <c:ser>
          <c:idx val="3"/>
          <c:order val="3"/>
          <c:tx>
            <c:strRef>
              <c:f>'Fig D1-3 - NMC-Mn'!$AB$6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06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NMC-Mn'!$AC$6:$AF$6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12053.315000000001</c:v>
                </c:pt>
                <c:pt idx="2">
                  <c:v>0</c:v>
                </c:pt>
                <c:pt idx="3" formatCode="0.00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762B-9D40-B115-18C8CDF84008}"/>
            </c:ext>
          </c:extLst>
        </c:ser>
        <c:ser>
          <c:idx val="4"/>
          <c:order val="4"/>
          <c:tx>
            <c:strRef>
              <c:f>'Fig D1-3 - NMC-Mn'!$AB$7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NMC-Mn'!$AC$7:$AF$7</c:f>
              <c:numCache>
                <c:formatCode>0.00</c:formatCode>
                <c:ptCount val="4"/>
                <c:pt idx="0">
                  <c:v>0</c:v>
                </c:pt>
                <c:pt idx="1">
                  <c:v>938.16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9-762B-9D40-B115-18C8CDF84008}"/>
            </c:ext>
          </c:extLst>
        </c:ser>
        <c:ser>
          <c:idx val="5"/>
          <c:order val="5"/>
          <c:tx>
            <c:strRef>
              <c:f>'Fig D1-3 - NMC-Mn'!$AB$8</c:f>
              <c:strCache>
                <c:ptCount val="1"/>
                <c:pt idx="0">
                  <c:v>India_Japan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A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NMC-Mn'!$AC$8:$AF$8</c:f>
              <c:numCache>
                <c:formatCode>0.00</c:formatCode>
                <c:ptCount val="4"/>
                <c:pt idx="0">
                  <c:v>0</c:v>
                </c:pt>
                <c:pt idx="1">
                  <c:v>62.18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762B-9D40-B115-18C8CDF84008}"/>
            </c:ext>
          </c:extLst>
        </c:ser>
        <c:ser>
          <c:idx val="6"/>
          <c:order val="6"/>
          <c:tx>
            <c:strRef>
              <c:f>'Fig D1-3 - NMC-Mn'!$AB$9</c:f>
              <c:strCache>
                <c:ptCount val="1"/>
                <c:pt idx="0">
                  <c:v>USA_Japan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762B-9D40-B115-18C8CDF8400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D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NMC-Mn'!$AC$9:$AF$9</c:f>
              <c:numCache>
                <c:formatCode>0.00</c:formatCode>
                <c:ptCount val="4"/>
                <c:pt idx="0">
                  <c:v>0</c:v>
                </c:pt>
                <c:pt idx="1">
                  <c:v>0.53200000000000003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762B-9D40-B115-18C8CDF84008}"/>
            </c:ext>
          </c:extLst>
        </c:ser>
        <c:ser>
          <c:idx val="7"/>
          <c:order val="7"/>
          <c:tx>
            <c:strRef>
              <c:f>'Fig D1-3 - NMC-Mn'!$AB$10</c:f>
              <c:strCache>
                <c:ptCount val="1"/>
                <c:pt idx="0">
                  <c:v>Colombia_Japan</c:v>
                </c:pt>
              </c:strCache>
            </c:strRef>
          </c:tx>
          <c:spPr>
            <a:solidFill>
              <a:srgbClr val="8E7CC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762B-9D40-B115-18C8CDF8400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NMC-Mn'!$AC$10:$AF$10</c:f>
              <c:numCache>
                <c:formatCode>0.00</c:formatCode>
                <c:ptCount val="4"/>
                <c:pt idx="0">
                  <c:v>0</c:v>
                </c:pt>
                <c:pt idx="1">
                  <c:v>0.6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762B-9D40-B115-18C8CDF84008}"/>
            </c:ext>
          </c:extLst>
        </c:ser>
        <c:ser>
          <c:idx val="8"/>
          <c:order val="8"/>
          <c:tx>
            <c:strRef>
              <c:f>'Fig D1-3 - NMC-Mn'!$AB$11</c:f>
              <c:strCache>
                <c:ptCount val="1"/>
                <c:pt idx="0">
                  <c:v>Uncertain_Japan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2-762B-9D40-B115-18C8CDF84008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762B-9D40-B115-18C8CDF8400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4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NMC-Mn'!$AC$11:$AF$11</c:f>
              <c:numCache>
                <c:formatCode>0.00</c:formatCode>
                <c:ptCount val="4"/>
                <c:pt idx="0">
                  <c:v>0</c:v>
                </c:pt>
                <c:pt idx="1">
                  <c:v>2454.2807080000002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762B-9D40-B115-18C8CDF84008}"/>
            </c:ext>
          </c:extLst>
        </c:ser>
        <c:ser>
          <c:idx val="9"/>
          <c:order val="9"/>
          <c:tx>
            <c:strRef>
              <c:f>'Fig D1-3 - NMC-Mn'!$AB$12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762B-9D40-B115-18C8CDF8400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NMC-Mn'!$AC$12:$AF$12</c:f>
              <c:numCache>
                <c:formatCode>0.00</c:formatCode>
                <c:ptCount val="4"/>
                <c:pt idx="0">
                  <c:v>0</c:v>
                </c:pt>
                <c:pt idx="1">
                  <c:v>2979.6460000000002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762B-9D40-B115-18C8CDF84008}"/>
            </c:ext>
          </c:extLst>
        </c:ser>
        <c:ser>
          <c:idx val="10"/>
          <c:order val="10"/>
          <c:tx>
            <c:strRef>
              <c:f>'Fig D1-3 - NMC-Mn'!$AB$13</c:f>
              <c:strCache>
                <c:ptCount val="1"/>
                <c:pt idx="0">
                  <c:v>Japan_SK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762B-9D40-B115-18C8CDF84008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762B-9D40-B115-18C8CDF8400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NMC-Mn'!$AC$13:$AF$13</c:f>
              <c:numCache>
                <c:formatCode>0.00</c:formatCode>
                <c:ptCount val="4"/>
                <c:pt idx="0">
                  <c:v>0</c:v>
                </c:pt>
                <c:pt idx="1">
                  <c:v>110.1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C-762B-9D40-B115-18C8CDF84008}"/>
            </c:ext>
          </c:extLst>
        </c:ser>
        <c:ser>
          <c:idx val="11"/>
          <c:order val="11"/>
          <c:tx>
            <c:strRef>
              <c:f>'Fig D1-3 - NMC-Mn'!$AB$14</c:f>
              <c:strCache>
                <c:ptCount val="1"/>
                <c:pt idx="0">
                  <c:v>USA_SK</c:v>
                </c:pt>
              </c:strCache>
            </c:strRef>
          </c:tx>
          <c:spPr>
            <a:solidFill>
              <a:srgbClr val="C0B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D-762B-9D40-B115-18C8CDF84008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762B-9D40-B115-18C8CDF8400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F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NMC-Mn'!$AC$14:$AF$14</c:f>
              <c:numCache>
                <c:formatCode>0.00</c:formatCode>
                <c:ptCount val="4"/>
                <c:pt idx="0">
                  <c:v>0</c:v>
                </c:pt>
                <c:pt idx="1">
                  <c:v>176.88800000000001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0-762B-9D40-B115-18C8CDF84008}"/>
            </c:ext>
          </c:extLst>
        </c:ser>
        <c:ser>
          <c:idx val="12"/>
          <c:order val="12"/>
          <c:tx>
            <c:strRef>
              <c:f>'Fig D1-3 - NMC-Mn'!$AB$15</c:f>
              <c:strCache>
                <c:ptCount val="1"/>
                <c:pt idx="0">
                  <c:v>India_SK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1-762B-9D40-B115-18C8CDF8400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NMC-Mn'!$AC$15:$AF$15</c:f>
              <c:numCache>
                <c:formatCode>0.00</c:formatCode>
                <c:ptCount val="4"/>
                <c:pt idx="0">
                  <c:v>0</c:v>
                </c:pt>
                <c:pt idx="1">
                  <c:v>29.617999999999999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3-762B-9D40-B115-18C8CDF84008}"/>
            </c:ext>
          </c:extLst>
        </c:ser>
        <c:ser>
          <c:idx val="13"/>
          <c:order val="13"/>
          <c:tx>
            <c:strRef>
              <c:f>'Fig D1-3 - NMC-Mn'!$AB$16</c:f>
              <c:strCache>
                <c:ptCount val="1"/>
                <c:pt idx="0">
                  <c:v>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762B-9D40-B115-18C8CDF84008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5-762B-9D40-B115-18C8CDF84008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6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NMC-Mn'!$AC$16:$AF$16</c:f>
              <c:numCache>
                <c:formatCode>0.00</c:formatCode>
                <c:ptCount val="4"/>
                <c:pt idx="0">
                  <c:v>0</c:v>
                </c:pt>
                <c:pt idx="1">
                  <c:v>2463.3358460000004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7-762B-9D40-B115-18C8CDF84008}"/>
            </c:ext>
          </c:extLst>
        </c:ser>
        <c:ser>
          <c:idx val="14"/>
          <c:order val="14"/>
          <c:tx>
            <c:strRef>
              <c:f>'Fig D1-3 - NMC-Mn'!$AB$17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/>
              </a:solidFill>
              <a:prstDash val="dash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29-762B-9D40-B115-18C8CDF84008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NMC-Mn'!$AC$17:$AF$17</c:f>
              <c:numCache>
                <c:formatCode>0.00</c:formatCode>
                <c:ptCount val="4"/>
                <c:pt idx="0" formatCode="General">
                  <c:v>12053.315000000001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12053.315000000001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dash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762B-9D40-B115-18C8CDF84008}"/>
            </c:ext>
          </c:extLst>
        </c:ser>
        <c:ser>
          <c:idx val="15"/>
          <c:order val="15"/>
          <c:tx>
            <c:strRef>
              <c:f>'Fig D1-3 - NMC-Mn'!$AB$18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FFFFFF">
                  <a:alpha val="0"/>
                </a:srgbClr>
              </a:solidFill>
              <a:prstDash val="dash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D-762B-9D40-B115-18C8CDF84008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NMC-Mn'!$AC$18:$AF$18</c:f>
              <c:numCache>
                <c:formatCode>0.00</c:formatCode>
                <c:ptCount val="4"/>
                <c:pt idx="0" formatCode="General">
                  <c:v>938.16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938.16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FFFFFF">
                        <a:alpha val="0"/>
                      </a:srgbClr>
                    </a:solidFill>
                    <a:prstDash val="dash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762B-9D40-B115-18C8CDF84008}"/>
            </c:ext>
          </c:extLst>
        </c:ser>
        <c:ser>
          <c:idx val="16"/>
          <c:order val="16"/>
          <c:tx>
            <c:strRef>
              <c:f>'Fig D1-3 - NMC-Mn'!$AB$19</c:f>
              <c:strCache>
                <c:ptCount val="1"/>
                <c:pt idx="0">
                  <c:v>Uncertain_India_Japan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1-762B-9D40-B115-18C8CDF84008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3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NMC-Mn'!$AC$19:$AF$19</c:f>
              <c:numCache>
                <c:formatCode>0.00</c:formatCode>
                <c:ptCount val="4"/>
                <c:pt idx="0">
                  <c:v>62.18</c:v>
                </c:pt>
                <c:pt idx="1">
                  <c:v>0</c:v>
                </c:pt>
                <c:pt idx="2" formatCode="General">
                  <c:v>0</c:v>
                </c:pt>
                <c:pt idx="3">
                  <c:v>62.18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4-762B-9D40-B115-18C8CDF84008}"/>
            </c:ext>
          </c:extLst>
        </c:ser>
        <c:ser>
          <c:idx val="17"/>
          <c:order val="17"/>
          <c:tx>
            <c:strRef>
              <c:f>'Fig D1-3 - NMC-Mn'!$AB$20</c:f>
              <c:strCache>
                <c:ptCount val="1"/>
                <c:pt idx="0">
                  <c:v>Uncertain_USA_Japan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5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NMC-Mn'!$AC$20:$AF$20</c:f>
              <c:numCache>
                <c:formatCode>0.00</c:formatCode>
                <c:ptCount val="4"/>
                <c:pt idx="0" formatCode="General">
                  <c:v>0.53200000000000003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0.53200000000000003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6-762B-9D40-B115-18C8CDF84008}"/>
            </c:ext>
          </c:extLst>
        </c:ser>
        <c:ser>
          <c:idx val="18"/>
          <c:order val="18"/>
          <c:tx>
            <c:strRef>
              <c:f>'Fig D1-3 - NMC-Mn'!$AB$21</c:f>
              <c:strCache>
                <c:ptCount val="1"/>
                <c:pt idx="0">
                  <c:v>Uncertain_Colombia_Japan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8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NMC-Mn'!$AC$21:$AF$21</c:f>
              <c:numCache>
                <c:formatCode>0.00</c:formatCode>
                <c:ptCount val="4"/>
                <c:pt idx="0" formatCode="General">
                  <c:v>0.6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9-762B-9D40-B115-18C8CDF84008}"/>
            </c:ext>
          </c:extLst>
        </c:ser>
        <c:ser>
          <c:idx val="19"/>
          <c:order val="19"/>
          <c:tx>
            <c:strRef>
              <c:f>'Fig D1-3 - NMC-Mn'!$AB$22</c:f>
              <c:strCache>
                <c:ptCount val="1"/>
                <c:pt idx="0">
                  <c:v>Uncertain_Uncertain_Japan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/>
              </a:solidFill>
              <a:prstDash val="dash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A-762B-9D40-B115-18C8CDF84008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NMC-Mn'!$AC$22:$AF$22</c:f>
              <c:numCache>
                <c:formatCode>0.00</c:formatCode>
                <c:ptCount val="4"/>
                <c:pt idx="0">
                  <c:v>2454.2807080000002</c:v>
                </c:pt>
                <c:pt idx="1">
                  <c:v>0</c:v>
                </c:pt>
                <c:pt idx="2" formatCode="General">
                  <c:v>0</c:v>
                </c:pt>
                <c:pt idx="3">
                  <c:v>2454.2807080000002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dash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D-762B-9D40-B115-18C8CDF84008}"/>
            </c:ext>
          </c:extLst>
        </c:ser>
        <c:ser>
          <c:idx val="20"/>
          <c:order val="20"/>
          <c:tx>
            <c:strRef>
              <c:f>'Fig D1-3 - NMC-Mn'!$AB$23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/>
              </a:solidFill>
              <a:prstDash val="dash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762B-9D40-B115-18C8CDF84008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NMC-Mn'!$AC$23:$AF$23</c:f>
              <c:numCache>
                <c:formatCode>0.00</c:formatCode>
                <c:ptCount val="4"/>
                <c:pt idx="0" formatCode="General">
                  <c:v>2979.6460000000002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2979.6460000000002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dash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1-762B-9D40-B115-18C8CDF84008}"/>
            </c:ext>
          </c:extLst>
        </c:ser>
        <c:ser>
          <c:idx val="21"/>
          <c:order val="21"/>
          <c:tx>
            <c:strRef>
              <c:f>'Fig D1-3 - NMC-Mn'!$AB$24</c:f>
              <c:strCache>
                <c:ptCount val="1"/>
                <c:pt idx="0">
                  <c:v>China_Japan_SK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>
                    <a:alpha val="100000"/>
                  </a:srgbClr>
                </a:solidFill>
                <a:prstDash val="dash"/>
              </a:ln>
            </c:spPr>
            <c:extLst>
              <c:ext xmlns:c16="http://schemas.microsoft.com/office/drawing/2014/chart" uri="{C3380CC4-5D6E-409C-BE32-E72D297353CC}">
                <c16:uniqueId val="{00000043-762B-9D40-B115-18C8CDF84008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5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NMC-Mn'!$AC$24:$AF$24</c:f>
              <c:numCache>
                <c:formatCode>0.00</c:formatCode>
                <c:ptCount val="4"/>
                <c:pt idx="0" formatCode="General">
                  <c:v>26.4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6-762B-9D40-B115-18C8CDF84008}"/>
            </c:ext>
          </c:extLst>
        </c:ser>
        <c:ser>
          <c:idx val="22"/>
          <c:order val="22"/>
          <c:tx>
            <c:strRef>
              <c:f>'Fig D1-3 - NMC-Mn'!$AB$25</c:f>
              <c:strCache>
                <c:ptCount val="1"/>
                <c:pt idx="0">
                  <c:v>Uncertain_Japan_SK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8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NMC-Mn'!$AC$25:$AF$25</c:f>
              <c:numCache>
                <c:formatCode>0.00</c:formatCode>
                <c:ptCount val="4"/>
                <c:pt idx="0" formatCode="General">
                  <c:v>83.7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83.7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9-762B-9D40-B115-18C8CDF84008}"/>
            </c:ext>
          </c:extLst>
        </c:ser>
        <c:ser>
          <c:idx val="23"/>
          <c:order val="23"/>
          <c:tx>
            <c:strRef>
              <c:f>'Fig D1-3 - NMC-Mn'!$AB$26</c:f>
              <c:strCache>
                <c:ptCount val="1"/>
                <c:pt idx="0">
                  <c:v>Uncertain_USA_SK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A-762B-9D40-B115-18C8CDF84008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C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NMC-Mn'!$AC$26:$AF$26</c:f>
              <c:numCache>
                <c:formatCode>0.00</c:formatCode>
                <c:ptCount val="4"/>
                <c:pt idx="0" formatCode="General">
                  <c:v>176.88800000000001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176.88800000000001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D-762B-9D40-B115-18C8CDF84008}"/>
            </c:ext>
          </c:extLst>
        </c:ser>
        <c:ser>
          <c:idx val="24"/>
          <c:order val="24"/>
          <c:tx>
            <c:strRef>
              <c:f>'Fig D1-3 - NMC-Mn'!$AB$27</c:f>
              <c:strCache>
                <c:ptCount val="1"/>
                <c:pt idx="0">
                  <c:v>Uncertain_India_SK</c:v>
                </c:pt>
              </c:strCache>
            </c:strRef>
          </c:tx>
          <c:spPr>
            <a:solidFill>
              <a:srgbClr val="C8132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E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NMC-Mn'!$AC$27:$AF$27</c:f>
              <c:numCache>
                <c:formatCode>0.00</c:formatCode>
                <c:ptCount val="4"/>
                <c:pt idx="0" formatCode="General">
                  <c:v>29.617999999999999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29.617999999999999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F-762B-9D40-B115-18C8CDF84008}"/>
            </c:ext>
          </c:extLst>
        </c:ser>
        <c:ser>
          <c:idx val="25"/>
          <c:order val="25"/>
          <c:tx>
            <c:strRef>
              <c:f>'Fig D1-3 - NMC-Mn'!$AB$28</c:f>
              <c:strCache>
                <c:ptCount val="1"/>
                <c:pt idx="0">
                  <c:v>Uncertain_Uncertain_SK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/>
              </a:solidFill>
              <a:prstDash val="dash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0-762B-9D40-B115-18C8CDF84008}"/>
              </c:ext>
            </c:extLst>
          </c:dPt>
          <c:dPt>
            <c:idx val="3"/>
            <c:invertIfNegative val="1"/>
            <c:bubble3D val="0"/>
            <c:spPr>
              <a:solidFill>
                <a:srgbClr val="C81325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2-762B-9D40-B115-18C8CDF84008}"/>
              </c:ext>
            </c:extLst>
          </c:dPt>
          <c:cat>
            <c:strRef>
              <c:f>'Fig D1-3 - NMC-Mn'!$AC$2:$AF$2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D1-3 - NMC-Mn'!$AC$28:$AF$28</c:f>
              <c:numCache>
                <c:formatCode>0.00</c:formatCode>
                <c:ptCount val="4"/>
                <c:pt idx="0" formatCode="General">
                  <c:v>2463.3358460000004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2463.3358460000004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dash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3-762B-9D40-B115-18C8CDF84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97416286"/>
        <c:axId val="495964134"/>
      </c:barChart>
      <c:catAx>
        <c:axId val="18974162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95964134"/>
        <c:crosses val="autoZero"/>
        <c:auto val="1"/>
        <c:lblAlgn val="ctr"/>
        <c:lblOffset val="100"/>
        <c:noMultiLvlLbl val="1"/>
      </c:catAx>
      <c:valAx>
        <c:axId val="495964134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7416286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D1-1 - NMC-Co'!$A$3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NMC-Co'!$B$3:$E$3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11035.98531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2EA8-4D4D-81E0-4312DCFE5E04}"/>
            </c:ext>
          </c:extLst>
        </c:ser>
        <c:ser>
          <c:idx val="1"/>
          <c:order val="1"/>
          <c:tx>
            <c:strRef>
              <c:f>'Fig D1-1 - NMC-Co'!$A$4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NMC-Co'!$B$4:$E$4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3164.0786109999999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2EA8-4D4D-81E0-4312DCFE5E04}"/>
            </c:ext>
          </c:extLst>
        </c:ser>
        <c:ser>
          <c:idx val="2"/>
          <c:order val="2"/>
          <c:tx>
            <c:strRef>
              <c:f>'Fig D1-1 - NMC-Co'!$A$5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NMC-Co'!$B$5:$E$5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5273.4643509999996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2EA8-4D4D-81E0-4312DCFE5E04}"/>
            </c:ext>
          </c:extLst>
        </c:ser>
        <c:ser>
          <c:idx val="3"/>
          <c:order val="3"/>
          <c:tx>
            <c:strRef>
              <c:f>'Fig D1-1 - NMC-Co'!$A$6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NMC-Co'!$B$6:$E$6</c:f>
              <c:numCache>
                <c:formatCode>0.00</c:formatCode>
                <c:ptCount val="4"/>
                <c:pt idx="0">
                  <c:v>0</c:v>
                </c:pt>
                <c:pt idx="1">
                  <c:v>3073.8840064695701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2EA8-4D4D-81E0-4312DCFE5E04}"/>
            </c:ext>
          </c:extLst>
        </c:ser>
        <c:ser>
          <c:idx val="4"/>
          <c:order val="4"/>
          <c:tx>
            <c:strRef>
              <c:f>'Fig D1-1 - NMC-Co'!$A$7</c:f>
              <c:strCache>
                <c:ptCount val="1"/>
                <c:pt idx="0">
                  <c:v>DRC_China</c:v>
                </c:pt>
              </c:strCache>
            </c:strRef>
          </c:tx>
          <c:spPr>
            <a:solidFill>
              <a:srgbClr val="02867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7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NMC-Co'!$B$7:$E$7</c:f>
              <c:numCache>
                <c:formatCode>0.00</c:formatCode>
                <c:ptCount val="4"/>
                <c:pt idx="0">
                  <c:v>0</c:v>
                </c:pt>
                <c:pt idx="1">
                  <c:v>7788.6862080699411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A-2EA8-4D4D-81E0-4312DCFE5E04}"/>
            </c:ext>
          </c:extLst>
        </c:ser>
        <c:ser>
          <c:idx val="5"/>
          <c:order val="5"/>
          <c:tx>
            <c:strRef>
              <c:f>'Fig D1-1 - NMC-Co'!$A$8</c:f>
              <c:strCache>
                <c:ptCount val="1"/>
                <c:pt idx="0">
                  <c:v>Australia_China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B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NMC-Co'!$B$8:$E$8</c:f>
              <c:numCache>
                <c:formatCode>0.00</c:formatCode>
                <c:ptCount val="4"/>
                <c:pt idx="0">
                  <c:v>0</c:v>
                </c:pt>
                <c:pt idx="1">
                  <c:v>48.756714622419821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C-2EA8-4D4D-81E0-4312DCFE5E04}"/>
            </c:ext>
          </c:extLst>
        </c:ser>
        <c:ser>
          <c:idx val="6"/>
          <c:order val="6"/>
          <c:tx>
            <c:strRef>
              <c:f>'Fig D1-1 - NMC-Co'!$A$9</c:f>
              <c:strCache>
                <c:ptCount val="1"/>
                <c:pt idx="0">
                  <c:v>Belgium_China</c:v>
                </c:pt>
              </c:strCache>
            </c:strRef>
          </c:tx>
          <c:spPr>
            <a:solidFill>
              <a:srgbClr val="C8102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NMC-Co'!$B$9:$E$9</c:f>
              <c:numCache>
                <c:formatCode>0.00</c:formatCode>
                <c:ptCount val="4"/>
                <c:pt idx="0">
                  <c:v>0</c:v>
                </c:pt>
                <c:pt idx="1">
                  <c:v>2.6167164595960646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2EA8-4D4D-81E0-4312DCFE5E04}"/>
            </c:ext>
          </c:extLst>
        </c:ser>
        <c:ser>
          <c:idx val="7"/>
          <c:order val="7"/>
          <c:tx>
            <c:strRef>
              <c:f>'Fig D1-1 - NMC-Co'!$A$10</c:f>
              <c:strCache>
                <c:ptCount val="1"/>
                <c:pt idx="0">
                  <c:v>Canada_China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E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NMC-Co'!$B$10:$E$10</c:f>
              <c:numCache>
                <c:formatCode>0.00</c:formatCode>
                <c:ptCount val="4"/>
                <c:pt idx="0">
                  <c:v>0</c:v>
                </c:pt>
                <c:pt idx="1">
                  <c:v>43.403556292276022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F-2EA8-4D4D-81E0-4312DCFE5E04}"/>
            </c:ext>
          </c:extLst>
        </c:ser>
        <c:ser>
          <c:idx val="8"/>
          <c:order val="8"/>
          <c:tx>
            <c:strRef>
              <c:f>'Fig D1-1 - NMC-Co'!$A$11</c:f>
              <c:strCache>
                <c:ptCount val="1"/>
                <c:pt idx="0">
                  <c:v>Finland_China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0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NMC-Co'!$B$11:$E$11</c:f>
              <c:numCache>
                <c:formatCode>0.00</c:formatCode>
                <c:ptCount val="4"/>
                <c:pt idx="0">
                  <c:v>0</c:v>
                </c:pt>
                <c:pt idx="1">
                  <c:v>22.338869420810724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1-2EA8-4D4D-81E0-4312DCFE5E04}"/>
            </c:ext>
          </c:extLst>
        </c:ser>
        <c:ser>
          <c:idx val="9"/>
          <c:order val="9"/>
          <c:tx>
            <c:strRef>
              <c:f>'Fig D1-1 - NMC-Co'!$A$12</c:f>
              <c:strCache>
                <c:ptCount val="1"/>
                <c:pt idx="0">
                  <c:v>Madagascar_China</c:v>
                </c:pt>
              </c:strCache>
            </c:strRef>
          </c:tx>
          <c:spPr>
            <a:solidFill>
              <a:srgbClr val="F2D2B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NMC-Co'!$B$12:$E$12</c:f>
              <c:numCache>
                <c:formatCode>0.00</c:formatCode>
                <c:ptCount val="4"/>
                <c:pt idx="0">
                  <c:v>0</c:v>
                </c:pt>
                <c:pt idx="1">
                  <c:v>3.8994760878649153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2EA8-4D4D-81E0-4312DCFE5E04}"/>
            </c:ext>
          </c:extLst>
        </c:ser>
        <c:ser>
          <c:idx val="10"/>
          <c:order val="10"/>
          <c:tx>
            <c:strRef>
              <c:f>'Fig D1-1 - NMC-Co'!$A$13</c:f>
              <c:strCache>
                <c:ptCount val="1"/>
                <c:pt idx="0">
                  <c:v>Morocco_China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NMC-Co'!$B$13:$E$13</c:f>
              <c:numCache>
                <c:formatCode>0.00</c:formatCode>
                <c:ptCount val="4"/>
                <c:pt idx="0">
                  <c:v>0</c:v>
                </c:pt>
                <c:pt idx="1">
                  <c:v>8.4356013329322668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2EA8-4D4D-81E0-4312DCFE5E04}"/>
            </c:ext>
          </c:extLst>
        </c:ser>
        <c:ser>
          <c:idx val="11"/>
          <c:order val="11"/>
          <c:tx>
            <c:strRef>
              <c:f>'Fig D1-1 - NMC-Co'!$A$14</c:f>
              <c:strCache>
                <c:ptCount val="1"/>
                <c:pt idx="0">
                  <c:v>SouthAfrica_China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NMC-Co'!$B$14:$E$14</c:f>
              <c:numCache>
                <c:formatCode>0.00</c:formatCode>
                <c:ptCount val="4"/>
                <c:pt idx="0">
                  <c:v>0</c:v>
                </c:pt>
                <c:pt idx="1">
                  <c:v>3.2451422318513021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2EA8-4D4D-81E0-4312DCFE5E04}"/>
            </c:ext>
          </c:extLst>
        </c:ser>
        <c:ser>
          <c:idx val="12"/>
          <c:order val="12"/>
          <c:tx>
            <c:strRef>
              <c:f>'Fig D1-1 - NMC-Co'!$A$15</c:f>
              <c:strCache>
                <c:ptCount val="1"/>
                <c:pt idx="0">
                  <c:v>Zambia_China</c:v>
                </c:pt>
              </c:strCache>
            </c:strRef>
          </c:tx>
          <c:spPr>
            <a:solidFill>
              <a:srgbClr val="FFC0C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NMC-Co'!$B$15:$E$15</c:f>
              <c:numCache>
                <c:formatCode>0.00</c:formatCode>
                <c:ptCount val="4"/>
                <c:pt idx="0">
                  <c:v>0</c:v>
                </c:pt>
                <c:pt idx="1">
                  <c:v>40.719019012739082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2EA8-4D4D-81E0-4312DCFE5E04}"/>
            </c:ext>
          </c:extLst>
        </c:ser>
        <c:ser>
          <c:idx val="13"/>
          <c:order val="13"/>
          <c:tx>
            <c:strRef>
              <c:f>'Fig D1-1 - NMC-Co'!$A$16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NMC-Co'!$B$16:$E$16</c:f>
              <c:numCache>
                <c:formatCode>0.00</c:formatCode>
                <c:ptCount val="4"/>
                <c:pt idx="0">
                  <c:v>0</c:v>
                </c:pt>
                <c:pt idx="1">
                  <c:v>18.461416403225289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2EA8-4D4D-81E0-4312DCFE5E04}"/>
            </c:ext>
          </c:extLst>
        </c:ser>
        <c:ser>
          <c:idx val="14"/>
          <c:order val="14"/>
          <c:tx>
            <c:strRef>
              <c:f>'Fig D1-1 - NMC-Co'!$A$17</c:f>
              <c:strCache>
                <c:ptCount val="1"/>
                <c:pt idx="0">
                  <c:v>Japan_Japan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A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C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NMC-Co'!$B$17:$E$17</c:f>
              <c:numCache>
                <c:formatCode>0.00</c:formatCode>
                <c:ptCount val="4"/>
                <c:pt idx="0">
                  <c:v>0</c:v>
                </c:pt>
                <c:pt idx="1">
                  <c:v>54.905953720379458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D-2EA8-4D4D-81E0-4312DCFE5E04}"/>
            </c:ext>
          </c:extLst>
        </c:ser>
        <c:ser>
          <c:idx val="15"/>
          <c:order val="15"/>
          <c:tx>
            <c:strRef>
              <c:f>'Fig D1-1 - NMC-Co'!$A$18</c:f>
              <c:strCache>
                <c:ptCount val="1"/>
                <c:pt idx="0">
                  <c:v>Australia_Japan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E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0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NMC-Co'!$B$18:$E$18</c:f>
              <c:numCache>
                <c:formatCode>0.00</c:formatCode>
                <c:ptCount val="4"/>
                <c:pt idx="0">
                  <c:v>0</c:v>
                </c:pt>
                <c:pt idx="1">
                  <c:v>98.290709904916255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1-2EA8-4D4D-81E0-4312DCFE5E04}"/>
            </c:ext>
          </c:extLst>
        </c:ser>
        <c:ser>
          <c:idx val="16"/>
          <c:order val="16"/>
          <c:tx>
            <c:strRef>
              <c:f>'Fig D1-1 - NMC-Co'!$A$19</c:f>
              <c:strCache>
                <c:ptCount val="1"/>
                <c:pt idx="0">
                  <c:v>Belgium_Japan</c:v>
                </c:pt>
              </c:strCache>
            </c:strRef>
          </c:tx>
          <c:spPr>
            <a:solidFill>
              <a:srgbClr val="C8102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2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4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NMC-Co'!$B$19:$E$19</c:f>
              <c:numCache>
                <c:formatCode>0.00</c:formatCode>
                <c:ptCount val="4"/>
                <c:pt idx="0">
                  <c:v>0</c:v>
                </c:pt>
                <c:pt idx="1">
                  <c:v>77.87663736382089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5-2EA8-4D4D-81E0-4312DCFE5E04}"/>
            </c:ext>
          </c:extLst>
        </c:ser>
        <c:ser>
          <c:idx val="17"/>
          <c:order val="17"/>
          <c:tx>
            <c:strRef>
              <c:f>'Fig D1-1 - NMC-Co'!$A$20</c:f>
              <c:strCache>
                <c:ptCount val="1"/>
                <c:pt idx="0">
                  <c:v>Canada_Japan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6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8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NMC-Co'!$B$20:$E$20</c:f>
              <c:numCache>
                <c:formatCode>0.00</c:formatCode>
                <c:ptCount val="4"/>
                <c:pt idx="0">
                  <c:v>0</c:v>
                </c:pt>
                <c:pt idx="1">
                  <c:v>291.31945345312522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9-2EA8-4D4D-81E0-4312DCFE5E04}"/>
            </c:ext>
          </c:extLst>
        </c:ser>
        <c:ser>
          <c:idx val="18"/>
          <c:order val="18"/>
          <c:tx>
            <c:strRef>
              <c:f>'Fig D1-1 - NMC-Co'!$A$21</c:f>
              <c:strCache>
                <c:ptCount val="1"/>
                <c:pt idx="0">
                  <c:v>Finland_Japan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B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NMC-Co'!$B$21:$E$21</c:f>
              <c:numCache>
                <c:formatCode>0.00</c:formatCode>
                <c:ptCount val="4"/>
                <c:pt idx="0">
                  <c:v>0</c:v>
                </c:pt>
                <c:pt idx="1">
                  <c:v>2040.9736960250154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C-2EA8-4D4D-81E0-4312DCFE5E04}"/>
            </c:ext>
          </c:extLst>
        </c:ser>
        <c:ser>
          <c:idx val="19"/>
          <c:order val="19"/>
          <c:tx>
            <c:strRef>
              <c:f>'Fig D1-1 - NMC-Co'!$A$22</c:f>
              <c:strCache>
                <c:ptCount val="1"/>
                <c:pt idx="0">
                  <c:v>India_Japan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E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NMC-Co'!$B$22:$E$22</c:f>
              <c:numCache>
                <c:formatCode>0.00</c:formatCode>
                <c:ptCount val="4"/>
                <c:pt idx="0">
                  <c:v>0</c:v>
                </c:pt>
                <c:pt idx="1">
                  <c:v>8.5527391483528198E-2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F-2EA8-4D4D-81E0-4312DCFE5E04}"/>
            </c:ext>
          </c:extLst>
        </c:ser>
        <c:ser>
          <c:idx val="20"/>
          <c:order val="20"/>
          <c:tx>
            <c:strRef>
              <c:f>'Fig D1-1 - NMC-Co'!$A$23</c:f>
              <c:strCache>
                <c:ptCount val="1"/>
                <c:pt idx="0">
                  <c:v>Madagascar_Japan</c:v>
                </c:pt>
              </c:strCache>
            </c:strRef>
          </c:tx>
          <c:spPr>
            <a:solidFill>
              <a:srgbClr val="F2D2B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0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2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NMC-Co'!$B$23:$E$23</c:f>
              <c:numCache>
                <c:formatCode>0.00</c:formatCode>
                <c:ptCount val="4"/>
                <c:pt idx="0">
                  <c:v>0</c:v>
                </c:pt>
                <c:pt idx="1">
                  <c:v>54.905953720379458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3-2EA8-4D4D-81E0-4312DCFE5E04}"/>
            </c:ext>
          </c:extLst>
        </c:ser>
        <c:ser>
          <c:idx val="21"/>
          <c:order val="21"/>
          <c:tx>
            <c:strRef>
              <c:f>'Fig D1-1 - NMC-Co'!$A$24</c:f>
              <c:strCache>
                <c:ptCount val="1"/>
                <c:pt idx="0">
                  <c:v>Morocco_Japan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4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6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NMC-Co'!$B$24:$E$24</c:f>
              <c:numCache>
                <c:formatCode>0.00</c:formatCode>
                <c:ptCount val="4"/>
                <c:pt idx="0">
                  <c:v>0</c:v>
                </c:pt>
                <c:pt idx="1">
                  <c:v>213.16057569740872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7-2EA8-4D4D-81E0-4312DCFE5E04}"/>
            </c:ext>
          </c:extLst>
        </c:ser>
        <c:ser>
          <c:idx val="22"/>
          <c:order val="22"/>
          <c:tx>
            <c:strRef>
              <c:f>'Fig D1-1 - NMC-Co'!$A$25</c:f>
              <c:strCache>
                <c:ptCount val="1"/>
                <c:pt idx="0">
                  <c:v>Norway_Japan</c:v>
                </c:pt>
              </c:strCache>
            </c:strRef>
          </c:tx>
          <c:spPr>
            <a:solidFill>
              <a:srgbClr val="3D85C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9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NMC-Co'!$B$25:$E$25</c:f>
              <c:numCache>
                <c:formatCode>0.00</c:formatCode>
                <c:ptCount val="4"/>
                <c:pt idx="0">
                  <c:v>0</c:v>
                </c:pt>
                <c:pt idx="1">
                  <c:v>166.58104248945645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A-2EA8-4D4D-81E0-4312DCFE5E04}"/>
            </c:ext>
          </c:extLst>
        </c:ser>
        <c:ser>
          <c:idx val="23"/>
          <c:order val="23"/>
          <c:tx>
            <c:strRef>
              <c:f>'Fig D1-1 - NMC-Co'!$A$26</c:f>
              <c:strCache>
                <c:ptCount val="1"/>
                <c:pt idx="0">
                  <c:v>SouthAfrica_Japan</c:v>
                </c:pt>
              </c:strCache>
            </c:strRef>
          </c:tx>
          <c:spPr>
            <a:solidFill>
              <a:srgbClr val="783F0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B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D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NMC-Co'!$B$26:$E$26</c:f>
              <c:numCache>
                <c:formatCode>0.00</c:formatCode>
                <c:ptCount val="4"/>
                <c:pt idx="0">
                  <c:v>0</c:v>
                </c:pt>
                <c:pt idx="1">
                  <c:v>21.631851015218515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E-2EA8-4D4D-81E0-4312DCFE5E04}"/>
            </c:ext>
          </c:extLst>
        </c:ser>
        <c:ser>
          <c:idx val="24"/>
          <c:order val="24"/>
          <c:tx>
            <c:strRef>
              <c:f>'Fig D1-1 - NMC-Co'!$A$27</c:f>
              <c:strCache>
                <c:ptCount val="1"/>
                <c:pt idx="0">
                  <c:v>Zambia_Japan</c:v>
                </c:pt>
              </c:strCache>
            </c:strRef>
          </c:tx>
          <c:spPr>
            <a:solidFill>
              <a:srgbClr val="FFC0C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F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1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NMC-Co'!$B$27:$E$27</c:f>
              <c:numCache>
                <c:formatCode>0.00</c:formatCode>
                <c:ptCount val="4"/>
                <c:pt idx="0">
                  <c:v>0</c:v>
                </c:pt>
                <c:pt idx="1">
                  <c:v>71.843008846163684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2-2EA8-4D4D-81E0-4312DCFE5E04}"/>
            </c:ext>
          </c:extLst>
        </c:ser>
        <c:ser>
          <c:idx val="25"/>
          <c:order val="25"/>
          <c:tx>
            <c:strRef>
              <c:f>'Fig D1-1 - NMC-Co'!$A$28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3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5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NMC-Co'!$B$28:$E$28</c:f>
              <c:numCache>
                <c:formatCode>0.00</c:formatCode>
                <c:ptCount val="4"/>
                <c:pt idx="0">
                  <c:v>0</c:v>
                </c:pt>
                <c:pt idx="1">
                  <c:v>2150.1237636903702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6-2EA8-4D4D-81E0-4312DCFE5E04}"/>
            </c:ext>
          </c:extLst>
        </c:ser>
        <c:ser>
          <c:idx val="26"/>
          <c:order val="26"/>
          <c:tx>
            <c:strRef>
              <c:f>'Fig D1-1 - NMC-Co'!$A$29</c:f>
              <c:strCache>
                <c:ptCount val="1"/>
                <c:pt idx="0">
                  <c:v>Japan_SK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7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9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NMC-Co'!$B$29:$E$29</c:f>
              <c:numCache>
                <c:formatCode>0.00</c:formatCode>
                <c:ptCount val="4"/>
                <c:pt idx="0">
                  <c:v>0</c:v>
                </c:pt>
                <c:pt idx="1">
                  <c:v>694.7881212745848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A-2EA8-4D4D-81E0-4312DCFE5E04}"/>
            </c:ext>
          </c:extLst>
        </c:ser>
        <c:ser>
          <c:idx val="27"/>
          <c:order val="27"/>
          <c:tx>
            <c:strRef>
              <c:f>'Fig D1-1 - NMC-Co'!$A$30</c:f>
              <c:strCache>
                <c:ptCount val="1"/>
                <c:pt idx="0">
                  <c:v>DRC_SK</c:v>
                </c:pt>
              </c:strCache>
            </c:strRef>
          </c:tx>
          <c:spPr>
            <a:solidFill>
              <a:srgbClr val="02857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C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NMC-Co'!$B$30:$E$30</c:f>
              <c:numCache>
                <c:formatCode>0.00</c:formatCode>
                <c:ptCount val="4"/>
                <c:pt idx="0">
                  <c:v>0</c:v>
                </c:pt>
                <c:pt idx="1">
                  <c:v>1732.8213823566434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D-2EA8-4D4D-81E0-4312DCFE5E04}"/>
            </c:ext>
          </c:extLst>
        </c:ser>
        <c:ser>
          <c:idx val="28"/>
          <c:order val="28"/>
          <c:tx>
            <c:strRef>
              <c:f>'Fig D1-1 - NMC-Co'!$A$31</c:f>
              <c:strCache>
                <c:ptCount val="1"/>
                <c:pt idx="0">
                  <c:v>Australia_SK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F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NMC-Co'!$B$31:$E$31</c:f>
              <c:numCache>
                <c:formatCode>0.00</c:formatCode>
                <c:ptCount val="4"/>
                <c:pt idx="0">
                  <c:v>0</c:v>
                </c:pt>
                <c:pt idx="1">
                  <c:v>133.76643991410086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0-2EA8-4D4D-81E0-4312DCFE5E04}"/>
            </c:ext>
          </c:extLst>
        </c:ser>
        <c:ser>
          <c:idx val="29"/>
          <c:order val="29"/>
          <c:tx>
            <c:strRef>
              <c:f>'Fig D1-1 - NMC-Co'!$A$32</c:f>
              <c:strCache>
                <c:ptCount val="1"/>
                <c:pt idx="0">
                  <c:v>Belgium_SK</c:v>
                </c:pt>
              </c:strCache>
            </c:strRef>
          </c:tx>
          <c:spPr>
            <a:solidFill>
              <a:srgbClr val="C8102E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1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3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NMC-Co'!$B$32:$E$32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271.05676104294565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4-2EA8-4D4D-81E0-4312DCFE5E04}"/>
            </c:ext>
          </c:extLst>
        </c:ser>
        <c:ser>
          <c:idx val="30"/>
          <c:order val="30"/>
          <c:tx>
            <c:strRef>
              <c:f>'Fig D1-1 - NMC-Co'!$A$33</c:f>
              <c:strCache>
                <c:ptCount val="1"/>
                <c:pt idx="0">
                  <c:v>Canada_SK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6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NMC-Co'!$B$33:$E$33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64.1532926118647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7-2EA8-4D4D-81E0-4312DCFE5E04}"/>
            </c:ext>
          </c:extLst>
        </c:ser>
        <c:ser>
          <c:idx val="31"/>
          <c:order val="31"/>
          <c:tx>
            <c:strRef>
              <c:f>'Fig D1-1 - NMC-Co'!$A$34</c:f>
              <c:strCache>
                <c:ptCount val="1"/>
                <c:pt idx="0">
                  <c:v>Finland_SK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9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NMC-Co'!$B$34:$E$34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101.15518283640299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A-2EA8-4D4D-81E0-4312DCFE5E04}"/>
            </c:ext>
          </c:extLst>
        </c:ser>
        <c:ser>
          <c:idx val="32"/>
          <c:order val="32"/>
          <c:tx>
            <c:strRef>
              <c:f>'Fig D1-1 - NMC-Co'!$A$35</c:f>
              <c:strCache>
                <c:ptCount val="1"/>
                <c:pt idx="0">
                  <c:v>India_SK</c:v>
                </c:pt>
              </c:strCache>
            </c:strRef>
          </c:tx>
          <c:spPr>
            <a:solidFill>
              <a:srgbClr val="FF9933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B-2EA8-4D4D-81E0-4312DCFE5E04}"/>
              </c:ext>
            </c:extLst>
          </c:dPt>
          <c:dPt>
            <c:idx val="3"/>
            <c:invertIfNegative val="1"/>
            <c:bubble3D val="0"/>
            <c:extLst>
              <c:ext xmlns:c16="http://schemas.microsoft.com/office/drawing/2014/chart" uri="{C3380CC4-5D6E-409C-BE32-E72D297353CC}">
                <c16:uniqueId val="{0000005C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NMC-Co'!$B$35:$E$35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67.588451187890072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D-2EA8-4D4D-81E0-4312DCFE5E04}"/>
            </c:ext>
          </c:extLst>
        </c:ser>
        <c:ser>
          <c:idx val="33"/>
          <c:order val="33"/>
          <c:tx>
            <c:strRef>
              <c:f>'Fig D1-1 - NMC-Co'!$A$36</c:f>
              <c:strCache>
                <c:ptCount val="1"/>
                <c:pt idx="0">
                  <c:v>Morocco_SK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F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NMC-Co'!$B$36:$E$36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29.346718960746621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0-2EA8-4D4D-81E0-4312DCFE5E04}"/>
            </c:ext>
          </c:extLst>
        </c:ser>
        <c:ser>
          <c:idx val="34"/>
          <c:order val="34"/>
          <c:tx>
            <c:strRef>
              <c:f>'Fig D1-1 - NMC-Co'!$A$37</c:f>
              <c:strCache>
                <c:ptCount val="1"/>
                <c:pt idx="0">
                  <c:v>Norway_SK</c:v>
                </c:pt>
              </c:strCache>
            </c:strRef>
          </c:tx>
          <c:spPr>
            <a:solidFill>
              <a:srgbClr val="3D85C6"/>
            </a:solidFill>
            <a:ln w="9525" cmpd="sng">
              <a:solidFill>
                <a:srgbClr val="000000"/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61-2EA8-4D4D-81E0-4312DCFE5E04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62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4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NMC-Co'!$B$37:$E$37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12.967154889632226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5-2EA8-4D4D-81E0-4312DCFE5E04}"/>
            </c:ext>
          </c:extLst>
        </c:ser>
        <c:ser>
          <c:idx val="35"/>
          <c:order val="35"/>
          <c:tx>
            <c:strRef>
              <c:f>'Fig D1-1 - NMC-Co'!$A$38</c:f>
              <c:strCache>
                <c:ptCount val="1"/>
                <c:pt idx="0">
                  <c:v>SouthAfrica_SK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7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NMC-Co'!$B$38:$E$38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5.4598546903714631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8-2EA8-4D4D-81E0-4312DCFE5E04}"/>
            </c:ext>
          </c:extLst>
        </c:ser>
        <c:ser>
          <c:idx val="36"/>
          <c:order val="36"/>
          <c:tx>
            <c:strRef>
              <c:f>'Fig D1-1 - NMC-Co'!$A$39</c:f>
              <c:strCache>
                <c:ptCount val="1"/>
                <c:pt idx="0">
                  <c:v>Zambia_SK</c:v>
                </c:pt>
              </c:strCache>
            </c:strRef>
          </c:tx>
          <c:spPr>
            <a:solidFill>
              <a:srgbClr val="FFC0C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A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NMC-Co'!$B$39:$E$39</c:f>
              <c:numCache>
                <c:formatCode>General</c:formatCode>
                <c:ptCount val="4"/>
                <c:pt idx="0" formatCode="0.00">
                  <c:v>0</c:v>
                </c:pt>
                <c:pt idx="1">
                  <c:v>10.237227544446494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B-2EA8-4D4D-81E0-4312DCFE5E04}"/>
            </c:ext>
          </c:extLst>
        </c:ser>
        <c:ser>
          <c:idx val="37"/>
          <c:order val="37"/>
          <c:tx>
            <c:strRef>
              <c:f>'Fig D1-1 - NMC-Co'!$A$40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6D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NMC-Co'!$B$40:$E$40</c:f>
              <c:numCache>
                <c:formatCode>0.00</c:formatCode>
                <c:ptCount val="4"/>
                <c:pt idx="0">
                  <c:v>651.80349884601469</c:v>
                </c:pt>
                <c:pt idx="1">
                  <c:v>0</c:v>
                </c:pt>
                <c:pt idx="2" formatCode="General">
                  <c:v>0</c:v>
                </c:pt>
                <c:pt idx="3">
                  <c:v>651.80349884601469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6E-2EA8-4D4D-81E0-4312DCFE5E04}"/>
            </c:ext>
          </c:extLst>
        </c:ser>
        <c:ser>
          <c:idx val="38"/>
          <c:order val="38"/>
          <c:tx>
            <c:strRef>
              <c:f>'Fig D1-1 - NMC-Co'!$A$41</c:f>
              <c:strCache>
                <c:ptCount val="1"/>
                <c:pt idx="0">
                  <c:v>DRC_China_China</c:v>
                </c:pt>
              </c:strCache>
            </c:strRef>
          </c:tx>
          <c:spPr>
            <a:solidFill>
              <a:srgbClr val="02857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0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NMC-Co'!$B$41:$E$41</c:f>
              <c:numCache>
                <c:formatCode>0.00</c:formatCode>
                <c:ptCount val="4"/>
                <c:pt idx="0">
                  <c:v>2422.0805076235551</c:v>
                </c:pt>
                <c:pt idx="1">
                  <c:v>0</c:v>
                </c:pt>
                <c:pt idx="2" formatCode="General">
                  <c:v>0</c:v>
                </c:pt>
                <c:pt idx="3">
                  <c:v>2422.0805076235551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1-2EA8-4D4D-81E0-4312DCFE5E04}"/>
            </c:ext>
          </c:extLst>
        </c:ser>
        <c:ser>
          <c:idx val="39"/>
          <c:order val="39"/>
          <c:tx>
            <c:strRef>
              <c:f>'Fig D1-1 - NMC-Co'!$A$42</c:f>
              <c:strCache>
                <c:ptCount val="1"/>
                <c:pt idx="0">
                  <c:v>DRC_DRC_China</c:v>
                </c:pt>
              </c:strCache>
            </c:strRef>
          </c:tx>
          <c:spPr>
            <a:solidFill>
              <a:srgbClr val="02857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3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NMC-Co'!$B$42:$E$42</c:f>
              <c:numCache>
                <c:formatCode>0.00</c:formatCode>
                <c:ptCount val="4"/>
                <c:pt idx="0">
                  <c:v>7788.6862080699411</c:v>
                </c:pt>
                <c:pt idx="1">
                  <c:v>0</c:v>
                </c:pt>
                <c:pt idx="2" formatCode="General">
                  <c:v>0</c:v>
                </c:pt>
                <c:pt idx="3">
                  <c:v>7788.6862080699411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4-2EA8-4D4D-81E0-4312DCFE5E04}"/>
            </c:ext>
          </c:extLst>
        </c:ser>
        <c:ser>
          <c:idx val="40"/>
          <c:order val="40"/>
          <c:tx>
            <c:strRef>
              <c:f>'Fig D1-1 - NMC-Co'!$A$44</c:f>
              <c:strCache>
                <c:ptCount val="1"/>
                <c:pt idx="0">
                  <c:v>Belgium_Belgium_China</c:v>
                </c:pt>
              </c:strCache>
            </c:strRef>
          </c:tx>
          <c:spPr>
            <a:solidFill>
              <a:srgbClr val="C8102E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6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NMC-Co'!$B$44:$E$44</c:f>
              <c:numCache>
                <c:formatCode>0.00</c:formatCode>
                <c:ptCount val="4"/>
                <c:pt idx="0">
                  <c:v>2.6167164595960646</c:v>
                </c:pt>
                <c:pt idx="1">
                  <c:v>0</c:v>
                </c:pt>
                <c:pt idx="2" formatCode="General">
                  <c:v>0</c:v>
                </c:pt>
                <c:pt idx="3">
                  <c:v>2.6167164595960646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7-2EA8-4D4D-81E0-4312DCFE5E04}"/>
            </c:ext>
          </c:extLst>
        </c:ser>
        <c:ser>
          <c:idx val="41"/>
          <c:order val="41"/>
          <c:tx>
            <c:strRef>
              <c:f>'Fig D1-1 - NMC-Co'!$A$45</c:f>
              <c:strCache>
                <c:ptCount val="1"/>
                <c:pt idx="0">
                  <c:v>Canada_Canada_China</c:v>
                </c:pt>
              </c:strCache>
            </c:strRef>
          </c:tx>
          <c:spPr>
            <a:solidFill>
              <a:srgbClr val="8AFF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9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NMC-Co'!$B$45:$E$45</c:f>
              <c:numCache>
                <c:formatCode>0.00</c:formatCode>
                <c:ptCount val="4"/>
                <c:pt idx="0">
                  <c:v>43.403556292276022</c:v>
                </c:pt>
                <c:pt idx="1">
                  <c:v>0</c:v>
                </c:pt>
                <c:pt idx="2" formatCode="General">
                  <c:v>0</c:v>
                </c:pt>
                <c:pt idx="3">
                  <c:v>43.403556292276022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A-2EA8-4D4D-81E0-4312DCFE5E04}"/>
            </c:ext>
          </c:extLst>
        </c:ser>
        <c:ser>
          <c:idx val="42"/>
          <c:order val="42"/>
          <c:tx>
            <c:strRef>
              <c:f>'Fig D1-1 - NMC-Co'!$A$46</c:f>
              <c:strCache>
                <c:ptCount val="1"/>
                <c:pt idx="0">
                  <c:v>Finland_Finland_China</c:v>
                </c:pt>
              </c:strCache>
            </c:strRef>
          </c:tx>
          <c:spPr>
            <a:solidFill>
              <a:srgbClr val="361C7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C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NMC-Co'!$B$46:$E$46</c:f>
              <c:numCache>
                <c:formatCode>0.00</c:formatCode>
                <c:ptCount val="4"/>
                <c:pt idx="0">
                  <c:v>22.338869420810724</c:v>
                </c:pt>
                <c:pt idx="1">
                  <c:v>0</c:v>
                </c:pt>
                <c:pt idx="2" formatCode="General">
                  <c:v>0</c:v>
                </c:pt>
                <c:pt idx="3">
                  <c:v>22.338869420810724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7D-2EA8-4D4D-81E0-4312DCFE5E04}"/>
            </c:ext>
          </c:extLst>
        </c:ser>
        <c:ser>
          <c:idx val="43"/>
          <c:order val="43"/>
          <c:tx>
            <c:strRef>
              <c:f>'Fig D1-1 - NMC-Co'!$A$47</c:f>
              <c:strCache>
                <c:ptCount val="1"/>
                <c:pt idx="0">
                  <c:v>Madagascar_Madagascar_China</c:v>
                </c:pt>
              </c:strCache>
            </c:strRef>
          </c:tx>
          <c:spPr>
            <a:solidFill>
              <a:srgbClr val="F2D2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7F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NMC-Co'!$B$47:$E$47</c:f>
              <c:numCache>
                <c:formatCode>0.00</c:formatCode>
                <c:ptCount val="4"/>
                <c:pt idx="0">
                  <c:v>3.8994760878649153</c:v>
                </c:pt>
                <c:pt idx="1">
                  <c:v>0</c:v>
                </c:pt>
                <c:pt idx="2" formatCode="General">
                  <c:v>0</c:v>
                </c:pt>
                <c:pt idx="3">
                  <c:v>3.8994760878649153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0-2EA8-4D4D-81E0-4312DCFE5E04}"/>
            </c:ext>
          </c:extLst>
        </c:ser>
        <c:ser>
          <c:idx val="44"/>
          <c:order val="44"/>
          <c:tx>
            <c:strRef>
              <c:f>'Fig D1-1 - NMC-Co'!$A$48</c:f>
              <c:strCache>
                <c:ptCount val="1"/>
                <c:pt idx="0">
                  <c:v>DRC_Morocco_China</c:v>
                </c:pt>
              </c:strCache>
            </c:strRef>
          </c:tx>
          <c:spPr>
            <a:solidFill>
              <a:srgbClr val="02857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2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NMC-Co'!$B$48:$E$48</c:f>
              <c:numCache>
                <c:formatCode>0.00</c:formatCode>
                <c:ptCount val="4"/>
                <c:pt idx="0">
                  <c:v>2.6130870095396275</c:v>
                </c:pt>
                <c:pt idx="1">
                  <c:v>0</c:v>
                </c:pt>
                <c:pt idx="2" formatCode="General">
                  <c:v>0</c:v>
                </c:pt>
                <c:pt idx="3">
                  <c:v>2.6130870095396275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3-2EA8-4D4D-81E0-4312DCFE5E04}"/>
            </c:ext>
          </c:extLst>
        </c:ser>
        <c:ser>
          <c:idx val="45"/>
          <c:order val="45"/>
          <c:tx>
            <c:strRef>
              <c:f>'Fig D1-1 - NMC-Co'!$A$49</c:f>
              <c:strCache>
                <c:ptCount val="1"/>
                <c:pt idx="0">
                  <c:v>Morocco_Morocco_China</c:v>
                </c:pt>
              </c:strCache>
            </c:strRef>
          </c:tx>
          <c:spPr>
            <a:solidFill>
              <a:srgbClr val="C1272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5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NMC-Co'!$B$49:$E$49</c:f>
              <c:numCache>
                <c:formatCode>0.00</c:formatCode>
                <c:ptCount val="4"/>
                <c:pt idx="0">
                  <c:v>5.8225143233926389</c:v>
                </c:pt>
                <c:pt idx="1">
                  <c:v>0</c:v>
                </c:pt>
                <c:pt idx="2" formatCode="General">
                  <c:v>0</c:v>
                </c:pt>
                <c:pt idx="3">
                  <c:v>5.8225143233926389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6-2EA8-4D4D-81E0-4312DCFE5E04}"/>
            </c:ext>
          </c:extLst>
        </c:ser>
        <c:ser>
          <c:idx val="46"/>
          <c:order val="46"/>
          <c:tx>
            <c:strRef>
              <c:f>'Fig D1-1 - NMC-Co'!$A$50</c:f>
              <c:strCache>
                <c:ptCount val="1"/>
                <c:pt idx="0">
                  <c:v>SouthAfrica_SouthAfrica_China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8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NMC-Co'!$B$50:$E$50</c:f>
              <c:numCache>
                <c:formatCode>0.00</c:formatCode>
                <c:ptCount val="4"/>
                <c:pt idx="0">
                  <c:v>3.2451422318513021</c:v>
                </c:pt>
                <c:pt idx="1">
                  <c:v>0</c:v>
                </c:pt>
                <c:pt idx="2" formatCode="General">
                  <c:v>0</c:v>
                </c:pt>
                <c:pt idx="3">
                  <c:v>3.2451422318513021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9-2EA8-4D4D-81E0-4312DCFE5E04}"/>
            </c:ext>
          </c:extLst>
        </c:ser>
        <c:ser>
          <c:idx val="47"/>
          <c:order val="47"/>
          <c:tx>
            <c:strRef>
              <c:f>'Fig D1-1 - NMC-Co'!$A$51</c:f>
              <c:strCache>
                <c:ptCount val="1"/>
                <c:pt idx="0">
                  <c:v>Zambia_Zambia_China</c:v>
                </c:pt>
              </c:strCache>
            </c:strRef>
          </c:tx>
          <c:spPr>
            <a:solidFill>
              <a:srgbClr val="FFC0C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B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NMC-Co'!$B$51:$E$51</c:f>
              <c:numCache>
                <c:formatCode>0.00</c:formatCode>
                <c:ptCount val="4"/>
                <c:pt idx="0">
                  <c:v>40.719019012739082</c:v>
                </c:pt>
                <c:pt idx="1">
                  <c:v>0</c:v>
                </c:pt>
                <c:pt idx="2" formatCode="General">
                  <c:v>0</c:v>
                </c:pt>
                <c:pt idx="3">
                  <c:v>40.719019012739082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C-2EA8-4D4D-81E0-4312DCFE5E04}"/>
            </c:ext>
          </c:extLst>
        </c:ser>
        <c:ser>
          <c:idx val="48"/>
          <c:order val="48"/>
          <c:tx>
            <c:strRef>
              <c:f>'Fig D1-1 - NMC-Co'!$A$52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8E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NMC-Co'!$B$52:$E$52</c:f>
              <c:numCache>
                <c:formatCode>0.00</c:formatCode>
                <c:ptCount val="4"/>
                <c:pt idx="0">
                  <c:v>3.9146616397851299</c:v>
                </c:pt>
                <c:pt idx="1">
                  <c:v>0</c:v>
                </c:pt>
                <c:pt idx="2" formatCode="General">
                  <c:v>0</c:v>
                </c:pt>
                <c:pt idx="3">
                  <c:v>3.9146616397851299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8F-2EA8-4D4D-81E0-4312DCFE5E04}"/>
            </c:ext>
          </c:extLst>
        </c:ser>
        <c:ser>
          <c:idx val="49"/>
          <c:order val="49"/>
          <c:tx>
            <c:strRef>
              <c:f>'Fig D1-1 - NMC-Co'!$A$53</c:f>
              <c:strCache>
                <c:ptCount val="1"/>
                <c:pt idx="0">
                  <c:v>DRC_China_Japan</c:v>
                </c:pt>
              </c:strCache>
            </c:strRef>
          </c:tx>
          <c:spPr>
            <a:solidFill>
              <a:srgbClr val="02857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1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NMC-Co'!$B$53:$E$53</c:f>
              <c:numCache>
                <c:formatCode>0.00</c:formatCode>
                <c:ptCount val="4"/>
                <c:pt idx="0">
                  <c:v>14.546754763440159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14.546754763440159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2-2EA8-4D4D-81E0-4312DCFE5E04}"/>
            </c:ext>
          </c:extLst>
        </c:ser>
        <c:ser>
          <c:idx val="50"/>
          <c:order val="50"/>
          <c:tx>
            <c:strRef>
              <c:f>'Fig D1-1 - NMC-Co'!$A$54</c:f>
              <c:strCache>
                <c:ptCount val="1"/>
                <c:pt idx="0">
                  <c:v>Japan_Japan_Japan</c:v>
                </c:pt>
              </c:strCache>
            </c:strRef>
          </c:tx>
          <c:spPr>
            <a:solidFill>
              <a:srgbClr val="FB943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4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NMC-Co'!$B$54:$E$54</c:f>
              <c:numCache>
                <c:formatCode>0.00</c:formatCode>
                <c:ptCount val="4"/>
                <c:pt idx="0">
                  <c:v>54.905953720379458</c:v>
                </c:pt>
                <c:pt idx="1">
                  <c:v>0</c:v>
                </c:pt>
                <c:pt idx="2" formatCode="General">
                  <c:v>0</c:v>
                </c:pt>
                <c:pt idx="3">
                  <c:v>54.905953720379458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5-2EA8-4D4D-81E0-4312DCFE5E04}"/>
            </c:ext>
          </c:extLst>
        </c:ser>
        <c:ser>
          <c:idx val="51"/>
          <c:order val="51"/>
          <c:tx>
            <c:strRef>
              <c:f>'Fig D1-1 - NMC-Co'!$A$55</c:f>
              <c:strCache>
                <c:ptCount val="1"/>
                <c:pt idx="0">
                  <c:v>Australia_Australia_Japan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7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NMC-Co'!$B$55:$E$55</c:f>
              <c:numCache>
                <c:formatCode>0.00</c:formatCode>
                <c:ptCount val="4"/>
                <c:pt idx="0">
                  <c:v>98.290709904916255</c:v>
                </c:pt>
                <c:pt idx="1">
                  <c:v>0</c:v>
                </c:pt>
                <c:pt idx="2" formatCode="General">
                  <c:v>0</c:v>
                </c:pt>
                <c:pt idx="3">
                  <c:v>98.290709904916255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8-2EA8-4D4D-81E0-4312DCFE5E04}"/>
            </c:ext>
          </c:extLst>
        </c:ser>
        <c:ser>
          <c:idx val="52"/>
          <c:order val="52"/>
          <c:tx>
            <c:strRef>
              <c:f>'Fig D1-1 - NMC-Co'!$A$56</c:f>
              <c:strCache>
                <c:ptCount val="1"/>
                <c:pt idx="0">
                  <c:v>Belgium_Belgium_Japan</c:v>
                </c:pt>
              </c:strCache>
            </c:strRef>
          </c:tx>
          <c:spPr>
            <a:solidFill>
              <a:srgbClr val="C8102E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99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B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NMC-Co'!$B$56:$E$56</c:f>
              <c:numCache>
                <c:formatCode>0.00</c:formatCode>
                <c:ptCount val="4"/>
                <c:pt idx="0">
                  <c:v>77.87663736382089</c:v>
                </c:pt>
                <c:pt idx="1">
                  <c:v>0</c:v>
                </c:pt>
                <c:pt idx="2" formatCode="General">
                  <c:v>0</c:v>
                </c:pt>
                <c:pt idx="3">
                  <c:v>77.87663736382089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C-2EA8-4D4D-81E0-4312DCFE5E04}"/>
            </c:ext>
          </c:extLst>
        </c:ser>
        <c:ser>
          <c:idx val="53"/>
          <c:order val="53"/>
          <c:tx>
            <c:strRef>
              <c:f>'Fig D1-1 - NMC-Co'!$A$57</c:f>
              <c:strCache>
                <c:ptCount val="1"/>
                <c:pt idx="0">
                  <c:v>Canada_Canada_Japan</c:v>
                </c:pt>
              </c:strCache>
            </c:strRef>
          </c:tx>
          <c:spPr>
            <a:solidFill>
              <a:srgbClr val="8AFF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9E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NMC-Co'!$B$57:$E$57</c:f>
              <c:numCache>
                <c:formatCode>0.00</c:formatCode>
                <c:ptCount val="4"/>
                <c:pt idx="0">
                  <c:v>291.31945345312522</c:v>
                </c:pt>
                <c:pt idx="1">
                  <c:v>0</c:v>
                </c:pt>
                <c:pt idx="2" formatCode="General">
                  <c:v>0</c:v>
                </c:pt>
                <c:pt idx="3">
                  <c:v>291.31945345312522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9F-2EA8-4D4D-81E0-4312DCFE5E04}"/>
            </c:ext>
          </c:extLst>
        </c:ser>
        <c:ser>
          <c:idx val="54"/>
          <c:order val="54"/>
          <c:tx>
            <c:strRef>
              <c:f>'Fig D1-1 - NMC-Co'!$A$58</c:f>
              <c:strCache>
                <c:ptCount val="1"/>
                <c:pt idx="0">
                  <c:v>Finland_Finland_Japan</c:v>
                </c:pt>
              </c:strCache>
            </c:strRef>
          </c:tx>
          <c:spPr>
            <a:solidFill>
              <a:srgbClr val="361C7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1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NMC-Co'!$B$58:$E$58</c:f>
              <c:numCache>
                <c:formatCode>0.00</c:formatCode>
                <c:ptCount val="4"/>
                <c:pt idx="0">
                  <c:v>2040.9736960250154</c:v>
                </c:pt>
                <c:pt idx="1">
                  <c:v>0</c:v>
                </c:pt>
                <c:pt idx="2" formatCode="General">
                  <c:v>0</c:v>
                </c:pt>
                <c:pt idx="3">
                  <c:v>2040.9736960250154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2-2EA8-4D4D-81E0-4312DCFE5E04}"/>
            </c:ext>
          </c:extLst>
        </c:ser>
        <c:ser>
          <c:idx val="55"/>
          <c:order val="55"/>
          <c:tx>
            <c:strRef>
              <c:f>'Fig D1-1 - NMC-Co'!$A$59</c:f>
              <c:strCache>
                <c:ptCount val="1"/>
                <c:pt idx="0">
                  <c:v>India_India_Japan</c:v>
                </c:pt>
              </c:strCache>
            </c:strRef>
          </c:tx>
          <c:spPr>
            <a:solidFill>
              <a:srgbClr val="FF993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4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NMC-Co'!$B$59:$E$59</c:f>
              <c:numCache>
                <c:formatCode>0.00</c:formatCode>
                <c:ptCount val="4"/>
                <c:pt idx="0">
                  <c:v>8.5527391483528198E-2</c:v>
                </c:pt>
                <c:pt idx="1">
                  <c:v>0</c:v>
                </c:pt>
                <c:pt idx="2" formatCode="General">
                  <c:v>0</c:v>
                </c:pt>
                <c:pt idx="3">
                  <c:v>8.5527391483528198E-2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5-2EA8-4D4D-81E0-4312DCFE5E04}"/>
            </c:ext>
          </c:extLst>
        </c:ser>
        <c:ser>
          <c:idx val="56"/>
          <c:order val="56"/>
          <c:tx>
            <c:strRef>
              <c:f>'Fig D1-1 - NMC-Co'!$A$60</c:f>
              <c:strCache>
                <c:ptCount val="1"/>
                <c:pt idx="0">
                  <c:v>Madgascar_Madagascar_Japan</c:v>
                </c:pt>
              </c:strCache>
            </c:strRef>
          </c:tx>
          <c:spPr>
            <a:solidFill>
              <a:srgbClr val="F2D2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7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9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NMC-Co'!$B$60:$E$60</c:f>
              <c:numCache>
                <c:formatCode>0.00</c:formatCode>
                <c:ptCount val="4"/>
                <c:pt idx="0">
                  <c:v>54.905953720379458</c:v>
                </c:pt>
                <c:pt idx="1">
                  <c:v>0</c:v>
                </c:pt>
                <c:pt idx="2" formatCode="General">
                  <c:v>0</c:v>
                </c:pt>
                <c:pt idx="3">
                  <c:v>54.905953720379458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A-2EA8-4D4D-81E0-4312DCFE5E04}"/>
            </c:ext>
          </c:extLst>
        </c:ser>
        <c:ser>
          <c:idx val="57"/>
          <c:order val="57"/>
          <c:tx>
            <c:strRef>
              <c:f>'Fig D1-1 - NMC-Co'!$A$61</c:f>
              <c:strCache>
                <c:ptCount val="1"/>
                <c:pt idx="0">
                  <c:v>DRC_Morocco_Japan</c:v>
                </c:pt>
              </c:strCache>
            </c:strRef>
          </c:tx>
          <c:spPr>
            <a:solidFill>
              <a:srgbClr val="02857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AC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NMC-Co'!$B$61:$E$61</c:f>
              <c:numCache>
                <c:formatCode>0.00</c:formatCode>
                <c:ptCount val="4"/>
                <c:pt idx="0">
                  <c:v>66.030518669291837</c:v>
                </c:pt>
                <c:pt idx="1">
                  <c:v>0</c:v>
                </c:pt>
                <c:pt idx="2" formatCode="General">
                  <c:v>0</c:v>
                </c:pt>
                <c:pt idx="3">
                  <c:v>66.030518669291837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AD-2EA8-4D4D-81E0-4312DCFE5E04}"/>
            </c:ext>
          </c:extLst>
        </c:ser>
        <c:ser>
          <c:idx val="58"/>
          <c:order val="58"/>
          <c:tx>
            <c:strRef>
              <c:f>'Fig D1-1 - NMC-Co'!$A$62</c:f>
              <c:strCache>
                <c:ptCount val="1"/>
                <c:pt idx="0">
                  <c:v>Morocco_Morocco_Japan</c:v>
                </c:pt>
              </c:strCache>
            </c:strRef>
          </c:tx>
          <c:spPr>
            <a:solidFill>
              <a:srgbClr val="C1272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AE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0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NMC-Co'!$B$62:$E$62</c:f>
              <c:numCache>
                <c:formatCode>0.00</c:formatCode>
                <c:ptCount val="4"/>
                <c:pt idx="0">
                  <c:v>147.13005702811688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147.13005702811688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1-2EA8-4D4D-81E0-4312DCFE5E04}"/>
            </c:ext>
          </c:extLst>
        </c:ser>
        <c:ser>
          <c:idx val="59"/>
          <c:order val="59"/>
          <c:tx>
            <c:strRef>
              <c:f>'Fig D1-1 - NMC-Co'!$A$63</c:f>
              <c:strCache>
                <c:ptCount val="1"/>
                <c:pt idx="0">
                  <c:v>Norway_Norway_Japan</c:v>
                </c:pt>
              </c:strCache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3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NMC-Co'!$B$63:$E$63</c:f>
              <c:numCache>
                <c:formatCode>0.00</c:formatCode>
                <c:ptCount val="4"/>
                <c:pt idx="0">
                  <c:v>166.58104248945645</c:v>
                </c:pt>
                <c:pt idx="1">
                  <c:v>0</c:v>
                </c:pt>
                <c:pt idx="2" formatCode="General">
                  <c:v>0</c:v>
                </c:pt>
                <c:pt idx="3">
                  <c:v>166.58104248945645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4-2EA8-4D4D-81E0-4312DCFE5E04}"/>
            </c:ext>
          </c:extLst>
        </c:ser>
        <c:ser>
          <c:idx val="60"/>
          <c:order val="60"/>
          <c:tx>
            <c:strRef>
              <c:f>'Fig D1-1 - NMC-Co'!$A$64</c:f>
              <c:strCache>
                <c:ptCount val="1"/>
                <c:pt idx="0">
                  <c:v>SouthAfrica_SouthAfrica_Japan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6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NMC-Co'!$B$64:$E$64</c:f>
              <c:numCache>
                <c:formatCode>0.00</c:formatCode>
                <c:ptCount val="4"/>
                <c:pt idx="0">
                  <c:v>21.631851015218515</c:v>
                </c:pt>
                <c:pt idx="1">
                  <c:v>0</c:v>
                </c:pt>
                <c:pt idx="2" formatCode="General">
                  <c:v>0</c:v>
                </c:pt>
                <c:pt idx="3">
                  <c:v>21.631851015218515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7-2EA8-4D4D-81E0-4312DCFE5E04}"/>
            </c:ext>
          </c:extLst>
        </c:ser>
        <c:ser>
          <c:idx val="61"/>
          <c:order val="61"/>
          <c:tx>
            <c:strRef>
              <c:f>'Fig D1-1 - NMC-Co'!$A$65</c:f>
              <c:strCache>
                <c:ptCount val="1"/>
                <c:pt idx="0">
                  <c:v>Zambia_Zambia_Japan</c:v>
                </c:pt>
              </c:strCache>
            </c:strRef>
          </c:tx>
          <c:spPr>
            <a:solidFill>
              <a:srgbClr val="FFC0C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9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NMC-Co'!$B$65:$E$65</c:f>
              <c:numCache>
                <c:formatCode>0.00</c:formatCode>
                <c:ptCount val="4"/>
                <c:pt idx="0">
                  <c:v>71.843008846163684</c:v>
                </c:pt>
                <c:pt idx="1">
                  <c:v>0</c:v>
                </c:pt>
                <c:pt idx="2" formatCode="General">
                  <c:v>0</c:v>
                </c:pt>
                <c:pt idx="3">
                  <c:v>71.843008846163684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A-2EA8-4D4D-81E0-4312DCFE5E04}"/>
            </c:ext>
          </c:extLst>
        </c:ser>
        <c:ser>
          <c:idx val="62"/>
          <c:order val="62"/>
          <c:tx>
            <c:strRef>
              <c:f>'Fig D1-1 - NMC-Co'!$A$66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E8131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C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NMC-Co'!$B$66:$E$66</c:f>
              <c:numCache>
                <c:formatCode>0.00</c:formatCode>
                <c:ptCount val="4"/>
                <c:pt idx="0">
                  <c:v>455.92422784194565</c:v>
                </c:pt>
                <c:pt idx="1">
                  <c:v>0</c:v>
                </c:pt>
                <c:pt idx="2" formatCode="General">
                  <c:v>0</c:v>
                </c:pt>
                <c:pt idx="3">
                  <c:v>455.92422784194565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BD-2EA8-4D4D-81E0-4312DCFE5E04}"/>
            </c:ext>
          </c:extLst>
        </c:ser>
        <c:ser>
          <c:idx val="63"/>
          <c:order val="63"/>
          <c:tx>
            <c:strRef>
              <c:f>'Fig D1-1 - NMC-Co'!$A$67</c:f>
              <c:strCache>
                <c:ptCount val="1"/>
                <c:pt idx="0">
                  <c:v>DRC_China_SK</c:v>
                </c:pt>
              </c:strCache>
            </c:strRef>
          </c:tx>
          <c:spPr>
            <a:solidFill>
              <a:srgbClr val="02857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BF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NMC-Co'!$B$67:$E$67</c:f>
              <c:numCache>
                <c:formatCode>0.00</c:formatCode>
                <c:ptCount val="4"/>
                <c:pt idx="0">
                  <c:v>1694.1995358484244</c:v>
                </c:pt>
                <c:pt idx="1">
                  <c:v>0</c:v>
                </c:pt>
                <c:pt idx="2" formatCode="General">
                  <c:v>0</c:v>
                </c:pt>
                <c:pt idx="3">
                  <c:v>1694.1995358484244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0-2EA8-4D4D-81E0-4312DCFE5E04}"/>
            </c:ext>
          </c:extLst>
        </c:ser>
        <c:ser>
          <c:idx val="64"/>
          <c:order val="64"/>
          <c:tx>
            <c:strRef>
              <c:f>'Fig D1-1 - NMC-Co'!$A$68</c:f>
              <c:strCache>
                <c:ptCount val="1"/>
                <c:pt idx="0">
                  <c:v>Japan_Japan_SK</c:v>
                </c:pt>
              </c:strCache>
            </c:strRef>
          </c:tx>
          <c:spPr>
            <a:solidFill>
              <a:srgbClr val="FB9432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2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NMC-Co'!$B$68:$E$68</c:f>
              <c:numCache>
                <c:formatCode>0.00</c:formatCode>
                <c:ptCount val="4"/>
                <c:pt idx="0">
                  <c:v>694.7881212745848</c:v>
                </c:pt>
                <c:pt idx="1">
                  <c:v>0</c:v>
                </c:pt>
                <c:pt idx="2" formatCode="General">
                  <c:v>0</c:v>
                </c:pt>
                <c:pt idx="3">
                  <c:v>694.7881212745848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3-2EA8-4D4D-81E0-4312DCFE5E04}"/>
            </c:ext>
          </c:extLst>
        </c:ser>
        <c:ser>
          <c:idx val="65"/>
          <c:order val="65"/>
          <c:tx>
            <c:strRef>
              <c:f>'Fig D1-1 - NMC-Co'!$A$69</c:f>
              <c:strCache>
                <c:ptCount val="1"/>
                <c:pt idx="0">
                  <c:v>DRC_DRC_SK</c:v>
                </c:pt>
              </c:strCache>
            </c:strRef>
          </c:tx>
          <c:spPr>
            <a:solidFill>
              <a:srgbClr val="02857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C4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6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NMC-Co'!$B$69:$E$69</c:f>
              <c:numCache>
                <c:formatCode>0.00</c:formatCode>
                <c:ptCount val="4"/>
                <c:pt idx="0">
                  <c:v>1732.8213823566434</c:v>
                </c:pt>
                <c:pt idx="1">
                  <c:v>0</c:v>
                </c:pt>
                <c:pt idx="2" formatCode="General">
                  <c:v>0</c:v>
                </c:pt>
                <c:pt idx="3">
                  <c:v>1732.8213823566434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7-2EA8-4D4D-81E0-4312DCFE5E04}"/>
            </c:ext>
          </c:extLst>
        </c:ser>
        <c:ser>
          <c:idx val="66"/>
          <c:order val="66"/>
          <c:tx>
            <c:strRef>
              <c:f>'Fig D1-1 - NMC-Co'!$A$70</c:f>
              <c:strCache>
                <c:ptCount val="1"/>
                <c:pt idx="0">
                  <c:v>Australia_Australia_SK</c:v>
                </c:pt>
              </c:strCache>
            </c:strRef>
          </c:tx>
          <c:spPr>
            <a:solidFill>
              <a:srgbClr val="EE84D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9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NMC-Co'!$B$70:$E$70</c:f>
              <c:numCache>
                <c:formatCode>0.00</c:formatCode>
                <c:ptCount val="4"/>
                <c:pt idx="0">
                  <c:v>133.76643991410086</c:v>
                </c:pt>
                <c:pt idx="1">
                  <c:v>0</c:v>
                </c:pt>
                <c:pt idx="2" formatCode="General">
                  <c:v>0</c:v>
                </c:pt>
                <c:pt idx="3">
                  <c:v>133.76643991410086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A-2EA8-4D4D-81E0-4312DCFE5E04}"/>
            </c:ext>
          </c:extLst>
        </c:ser>
        <c:ser>
          <c:idx val="67"/>
          <c:order val="67"/>
          <c:tx>
            <c:strRef>
              <c:f>'Fig D1-1 - NMC-Co'!$A$71</c:f>
              <c:strCache>
                <c:ptCount val="1"/>
                <c:pt idx="0">
                  <c:v>Belgium_Belgium_SK</c:v>
                </c:pt>
              </c:strCache>
            </c:strRef>
          </c:tx>
          <c:spPr>
            <a:solidFill>
              <a:srgbClr val="C8102E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C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NMC-Co'!$B$71:$E$71</c:f>
              <c:numCache>
                <c:formatCode>0.00</c:formatCode>
                <c:ptCount val="4"/>
                <c:pt idx="0" formatCode="General">
                  <c:v>271.05676104294565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271.05676104294565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CD-2EA8-4D4D-81E0-4312DCFE5E04}"/>
            </c:ext>
          </c:extLst>
        </c:ser>
        <c:ser>
          <c:idx val="68"/>
          <c:order val="68"/>
          <c:tx>
            <c:strRef>
              <c:f>'Fig D1-1 - NMC-Co'!$A$72</c:f>
              <c:strCache>
                <c:ptCount val="1"/>
                <c:pt idx="0">
                  <c:v>Canada_Canada_SK</c:v>
                </c:pt>
              </c:strCache>
            </c:strRef>
          </c:tx>
          <c:spPr>
            <a:solidFill>
              <a:srgbClr val="8AFFFF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CF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NMC-Co'!$B$72:$E$72</c:f>
              <c:numCache>
                <c:formatCode>0.00</c:formatCode>
                <c:ptCount val="4"/>
                <c:pt idx="0" formatCode="General">
                  <c:v>64.1532926118647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64.1532926118647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0-2EA8-4D4D-81E0-4312DCFE5E04}"/>
            </c:ext>
          </c:extLst>
        </c:ser>
        <c:ser>
          <c:idx val="69"/>
          <c:order val="69"/>
          <c:tx>
            <c:strRef>
              <c:f>'Fig D1-1 - NMC-Co'!$A$73</c:f>
              <c:strCache>
                <c:ptCount val="1"/>
                <c:pt idx="0">
                  <c:v>Finland_Finland_SK</c:v>
                </c:pt>
              </c:strCache>
            </c:strRef>
          </c:tx>
          <c:spPr>
            <a:solidFill>
              <a:srgbClr val="361C75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2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NMC-Co'!$B$73:$E$73</c:f>
              <c:numCache>
                <c:formatCode>0.00</c:formatCode>
                <c:ptCount val="4"/>
                <c:pt idx="0" formatCode="General">
                  <c:v>101.15518283640299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101.15518283640299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3-2EA8-4D4D-81E0-4312DCFE5E04}"/>
            </c:ext>
          </c:extLst>
        </c:ser>
        <c:ser>
          <c:idx val="70"/>
          <c:order val="70"/>
          <c:tx>
            <c:strRef>
              <c:f>'Fig D1-1 - NMC-Co'!$A$74</c:f>
              <c:strCache>
                <c:ptCount val="1"/>
                <c:pt idx="0">
                  <c:v>India_India_SK</c:v>
                </c:pt>
              </c:strCache>
            </c:strRef>
          </c:tx>
          <c:spPr>
            <a:solidFill>
              <a:srgbClr val="FF993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5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NMC-Co'!$B$74:$E$74</c:f>
              <c:numCache>
                <c:formatCode>0.00</c:formatCode>
                <c:ptCount val="4"/>
                <c:pt idx="0" formatCode="General">
                  <c:v>67.588451187890072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67.588451187890072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6-2EA8-4D4D-81E0-4312DCFE5E04}"/>
            </c:ext>
          </c:extLst>
        </c:ser>
        <c:ser>
          <c:idx val="71"/>
          <c:order val="71"/>
          <c:tx>
            <c:strRef>
              <c:f>'Fig D1-1 - NMC-Co'!$A$75</c:f>
              <c:strCache>
                <c:ptCount val="1"/>
                <c:pt idx="0">
                  <c:v>DRC_Morocco_SK</c:v>
                </c:pt>
              </c:strCache>
            </c:strRef>
          </c:tx>
          <c:spPr>
            <a:solidFill>
              <a:srgbClr val="028573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8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NMC-Co'!$B$75:$E$75</c:f>
              <c:numCache>
                <c:formatCode>0.00</c:formatCode>
                <c:ptCount val="4"/>
                <c:pt idx="0">
                  <c:v>9.0907010730295994</c:v>
                </c:pt>
                <c:pt idx="1">
                  <c:v>0</c:v>
                </c:pt>
                <c:pt idx="2" formatCode="General">
                  <c:v>0</c:v>
                </c:pt>
                <c:pt idx="3">
                  <c:v>9.0907010730295994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9-2EA8-4D4D-81E0-4312DCFE5E04}"/>
            </c:ext>
          </c:extLst>
        </c:ser>
        <c:ser>
          <c:idx val="72"/>
          <c:order val="72"/>
          <c:tx>
            <c:strRef>
              <c:f>'Fig D1-1 - NMC-Co'!$A$76</c:f>
              <c:strCache>
                <c:ptCount val="1"/>
                <c:pt idx="0">
                  <c:v>Morocco_Morocco_SK</c:v>
                </c:pt>
              </c:strCache>
            </c:strRef>
          </c:tx>
          <c:spPr>
            <a:solidFill>
              <a:srgbClr val="C1272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B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NMC-Co'!$B$76:$E$76</c:f>
              <c:numCache>
                <c:formatCode>0.00</c:formatCode>
                <c:ptCount val="4"/>
                <c:pt idx="0">
                  <c:v>20.256017887717022</c:v>
                </c:pt>
                <c:pt idx="1">
                  <c:v>0</c:v>
                </c:pt>
                <c:pt idx="2" formatCode="General">
                  <c:v>0</c:v>
                </c:pt>
                <c:pt idx="3">
                  <c:v>20.256017887717022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DC-2EA8-4D4D-81E0-4312DCFE5E04}"/>
            </c:ext>
          </c:extLst>
        </c:ser>
        <c:ser>
          <c:idx val="73"/>
          <c:order val="73"/>
          <c:tx>
            <c:strRef>
              <c:f>'Fig D1-1 - NMC-Co'!$A$77</c:f>
              <c:strCache>
                <c:ptCount val="1"/>
                <c:pt idx="0">
                  <c:v>Norway_Norway_SK</c:v>
                </c:pt>
              </c:strCache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DD-2EA8-4D4D-81E0-4312DCFE5E04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DF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NMC-Co'!$B$77:$E$77</c:f>
              <c:numCache>
                <c:formatCode>0.00</c:formatCode>
                <c:ptCount val="4"/>
                <c:pt idx="0" formatCode="General">
                  <c:v>12.967154889632226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12.967154889632226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E0-2EA8-4D4D-81E0-4312DCFE5E04}"/>
            </c:ext>
          </c:extLst>
        </c:ser>
        <c:ser>
          <c:idx val="74"/>
          <c:order val="74"/>
          <c:tx>
            <c:strRef>
              <c:f>'Fig D1-1 - NMC-Co'!$A$78</c:f>
              <c:strCache>
                <c:ptCount val="1"/>
                <c:pt idx="0">
                  <c:v>SouthAfrica_SouthAfrica_SK</c:v>
                </c:pt>
              </c:strCache>
            </c:strRef>
          </c:tx>
          <c:spPr>
            <a:solidFill>
              <a:srgbClr val="783F04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E2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NMC-Co'!$B$78:$E$78</c:f>
              <c:numCache>
                <c:formatCode>0.00</c:formatCode>
                <c:ptCount val="4"/>
                <c:pt idx="0" formatCode="General">
                  <c:v>5.4598546903714631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5.4598546903714631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E3-2EA8-4D4D-81E0-4312DCFE5E04}"/>
            </c:ext>
          </c:extLst>
        </c:ser>
        <c:ser>
          <c:idx val="75"/>
          <c:order val="75"/>
          <c:tx>
            <c:strRef>
              <c:f>'Fig D1-1 - NMC-Co'!$A$79</c:f>
              <c:strCache>
                <c:ptCount val="1"/>
                <c:pt idx="0">
                  <c:v>Zambia_Zambia_SK</c:v>
                </c:pt>
              </c:strCache>
            </c:strRef>
          </c:tx>
          <c:spPr>
            <a:solidFill>
              <a:srgbClr val="FFC0CB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E5-2EA8-4D4D-81E0-4312DCFE5E04}"/>
              </c:ext>
            </c:extLst>
          </c:dPt>
          <c:cat>
            <c:strRef>
              <c:f>'Fig D1-1 - NMC-Co'!$B$2:$E$2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NMC-Co'!$B$79:$E$79</c:f>
              <c:numCache>
                <c:formatCode>0.00</c:formatCode>
                <c:ptCount val="4"/>
                <c:pt idx="0" formatCode="General">
                  <c:v>10.237227544446494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10.237227544446494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E6-2EA8-4D4D-81E0-4312DCFE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7231244"/>
        <c:axId val="311807246"/>
      </c:barChart>
      <c:catAx>
        <c:axId val="1072312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11807246"/>
        <c:crosses val="autoZero"/>
        <c:auto val="1"/>
        <c:lblAlgn val="ctr"/>
        <c:lblOffset val="100"/>
        <c:noMultiLvlLbl val="1"/>
      </c:catAx>
      <c:valAx>
        <c:axId val="31180724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07231244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D1-1 - NMC-Co'!$J$3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NMC-Co'!$K$3:$N$3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11035.98531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C96-E44C-B099-6D05E2B879B7}"/>
            </c:ext>
          </c:extLst>
        </c:ser>
        <c:ser>
          <c:idx val="1"/>
          <c:order val="1"/>
          <c:tx>
            <c:strRef>
              <c:f>'Fig D1-1 - NMC-Co'!$J$4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NMC-Co'!$K$4:$N$4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3164.0786109999995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6C96-E44C-B099-6D05E2B879B7}"/>
            </c:ext>
          </c:extLst>
        </c:ser>
        <c:ser>
          <c:idx val="2"/>
          <c:order val="2"/>
          <c:tx>
            <c:strRef>
              <c:f>'Fig D1-1 - NMC-Co'!$J$5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NMC-Co'!$K$5:$N$5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5273.4643509999996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6C96-E44C-B099-6D05E2B879B7}"/>
            </c:ext>
          </c:extLst>
        </c:ser>
        <c:ser>
          <c:idx val="3"/>
          <c:order val="3"/>
          <c:tx>
            <c:strRef>
              <c:f>'Fig D1-1 - NMC-Co'!$J$6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NMC-Co'!$K$6:$N$6</c:f>
              <c:numCache>
                <c:formatCode>0.00</c:formatCode>
                <c:ptCount val="4"/>
                <c:pt idx="0">
                  <c:v>0</c:v>
                </c:pt>
                <c:pt idx="1">
                  <c:v>11035.98531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6C96-E44C-B099-6D05E2B879B7}"/>
            </c:ext>
          </c:extLst>
        </c:ser>
        <c:ser>
          <c:idx val="4"/>
          <c:order val="4"/>
          <c:tx>
            <c:strRef>
              <c:f>'Fig D1-1 - NMC-Co'!$J$7</c:f>
              <c:strCache>
                <c:ptCount val="1"/>
                <c:pt idx="0">
                  <c:v>Australia_Japan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NMC-Co'!$K$7:$N$7</c:f>
              <c:numCache>
                <c:formatCode>0.00</c:formatCode>
                <c:ptCount val="4"/>
                <c:pt idx="0">
                  <c:v>0</c:v>
                </c:pt>
                <c:pt idx="1">
                  <c:v>149.4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6C96-E44C-B099-6D05E2B879B7}"/>
            </c:ext>
          </c:extLst>
        </c:ser>
        <c:ser>
          <c:idx val="5"/>
          <c:order val="5"/>
          <c:tx>
            <c:strRef>
              <c:f>'Fig D1-1 - NMC-Co'!$J$8</c:f>
              <c:strCache>
                <c:ptCount val="1"/>
                <c:pt idx="0">
                  <c:v>Canada_Japan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NMC-Co'!$K$8:$N$8</c:f>
              <c:numCache>
                <c:formatCode>0.00</c:formatCode>
                <c:ptCount val="4"/>
                <c:pt idx="0">
                  <c:v>0</c:v>
                </c:pt>
                <c:pt idx="1">
                  <c:v>442.8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6C96-E44C-B099-6D05E2B879B7}"/>
            </c:ext>
          </c:extLst>
        </c:ser>
        <c:ser>
          <c:idx val="6"/>
          <c:order val="6"/>
          <c:tx>
            <c:strRef>
              <c:f>'Fig D1-1 - NMC-Co'!$J$9</c:f>
              <c:strCache>
                <c:ptCount val="1"/>
                <c:pt idx="0">
                  <c:v>Finland_Japan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NMC-Co'!$K$9:$N$9</c:f>
              <c:numCache>
                <c:formatCode>0.00</c:formatCode>
                <c:ptCount val="4"/>
                <c:pt idx="0">
                  <c:v>0</c:v>
                </c:pt>
                <c:pt idx="1">
                  <c:v>2082.2786109999997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6C96-E44C-B099-6D05E2B879B7}"/>
            </c:ext>
          </c:extLst>
        </c:ser>
        <c:ser>
          <c:idx val="7"/>
          <c:order val="7"/>
          <c:tx>
            <c:strRef>
              <c:f>'Fig D1-1 - NMC-Co'!$J$10</c:f>
              <c:strCache>
                <c:ptCount val="1"/>
                <c:pt idx="0">
                  <c:v>Madagascar_Japan</c:v>
                </c:pt>
              </c:strCache>
            </c:strRef>
          </c:tx>
          <c:spPr>
            <a:solidFill>
              <a:srgbClr val="F2D2B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NMC-Co'!$K$10:$N$10</c:f>
              <c:numCache>
                <c:formatCode>0.00</c:formatCode>
                <c:ptCount val="4"/>
                <c:pt idx="0">
                  <c:v>0</c:v>
                </c:pt>
                <c:pt idx="1">
                  <c:v>165.6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6C96-E44C-B099-6D05E2B879B7}"/>
            </c:ext>
          </c:extLst>
        </c:ser>
        <c:ser>
          <c:idx val="8"/>
          <c:order val="8"/>
          <c:tx>
            <c:strRef>
              <c:f>'Fig D1-1 - NMC-Co'!$J$11</c:f>
              <c:strCache>
                <c:ptCount val="1"/>
                <c:pt idx="0">
                  <c:v>Morocco_Japan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NMC-Co'!$K$11:$N$11</c:f>
              <c:numCache>
                <c:formatCode>0.00</c:formatCode>
                <c:ptCount val="4"/>
                <c:pt idx="0">
                  <c:v>0</c:v>
                </c:pt>
                <c:pt idx="1">
                  <c:v>324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6C96-E44C-B099-6D05E2B879B7}"/>
            </c:ext>
          </c:extLst>
        </c:ser>
        <c:ser>
          <c:idx val="9"/>
          <c:order val="9"/>
          <c:tx>
            <c:strRef>
              <c:f>'Fig D1-1 - NMC-Co'!$J$12</c:f>
              <c:strCache>
                <c:ptCount val="1"/>
                <c:pt idx="0">
                  <c:v>Japan_SK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NMC-Co'!$K$12:$N$12</c:f>
              <c:numCache>
                <c:formatCode>0.00</c:formatCode>
                <c:ptCount val="4"/>
                <c:pt idx="0">
                  <c:v>0</c:v>
                </c:pt>
                <c:pt idx="1">
                  <c:v>610.81899999999996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3-6C96-E44C-B099-6D05E2B879B7}"/>
            </c:ext>
          </c:extLst>
        </c:ser>
        <c:ser>
          <c:idx val="10"/>
          <c:order val="10"/>
          <c:tx>
            <c:strRef>
              <c:f>'Fig D1-1 - NMC-Co'!$J$13</c:f>
              <c:strCache>
                <c:ptCount val="1"/>
                <c:pt idx="0">
                  <c:v>DRC_SK</c:v>
                </c:pt>
              </c:strCache>
            </c:strRef>
          </c:tx>
          <c:spPr>
            <a:solidFill>
              <a:srgbClr val="02857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4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NMC-Co'!$K$13:$N$13</c:f>
              <c:numCache>
                <c:formatCode>0.00</c:formatCode>
                <c:ptCount val="4"/>
                <c:pt idx="0">
                  <c:v>0</c:v>
                </c:pt>
                <c:pt idx="1">
                  <c:v>1523.4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5-6C96-E44C-B099-6D05E2B879B7}"/>
            </c:ext>
          </c:extLst>
        </c:ser>
        <c:ser>
          <c:idx val="11"/>
          <c:order val="11"/>
          <c:tx>
            <c:strRef>
              <c:f>'Fig D1-1 - NMC-Co'!$J$14</c:f>
              <c:strCache>
                <c:ptCount val="1"/>
                <c:pt idx="0">
                  <c:v>Australia_SK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6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NMC-Co'!$K$14:$N$14</c:f>
              <c:numCache>
                <c:formatCode>0.00</c:formatCode>
                <c:ptCount val="4"/>
                <c:pt idx="0">
                  <c:v>0</c:v>
                </c:pt>
                <c:pt idx="1">
                  <c:v>117.6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7-6C96-E44C-B099-6D05E2B879B7}"/>
            </c:ext>
          </c:extLst>
        </c:ser>
        <c:ser>
          <c:idx val="12"/>
          <c:order val="12"/>
          <c:tx>
            <c:strRef>
              <c:f>'Fig D1-1 - NMC-Co'!$J$15</c:f>
              <c:strCache>
                <c:ptCount val="1"/>
                <c:pt idx="0">
                  <c:v>Canada_SK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8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NMC-Co'!$K$15:$N$15</c:f>
              <c:numCache>
                <c:formatCode>0.00</c:formatCode>
                <c:ptCount val="4"/>
                <c:pt idx="0">
                  <c:v>0</c:v>
                </c:pt>
                <c:pt idx="1">
                  <c:v>56.4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9-6C96-E44C-B099-6D05E2B879B7}"/>
            </c:ext>
          </c:extLst>
        </c:ser>
        <c:ser>
          <c:idx val="13"/>
          <c:order val="13"/>
          <c:tx>
            <c:strRef>
              <c:f>'Fig D1-1 - NMC-Co'!$J$16</c:f>
              <c:strCache>
                <c:ptCount val="1"/>
                <c:pt idx="0">
                  <c:v>Morocco_SK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NMC-Co'!$K$16:$N$16</c:f>
              <c:numCache>
                <c:formatCode>0.00</c:formatCode>
                <c:ptCount val="4"/>
                <c:pt idx="0">
                  <c:v>0</c:v>
                </c:pt>
                <c:pt idx="1">
                  <c:v>25.8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6C96-E44C-B099-6D05E2B879B7}"/>
            </c:ext>
          </c:extLst>
        </c:ser>
        <c:ser>
          <c:idx val="14"/>
          <c:order val="14"/>
          <c:tx>
            <c:strRef>
              <c:f>'Fig D1-1 - NMC-Co'!$J$17</c:f>
              <c:strCache>
                <c:ptCount val="1"/>
                <c:pt idx="0">
                  <c:v>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B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D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NMC-Co'!$K$17:$N$17</c:f>
              <c:numCache>
                <c:formatCode>0.00</c:formatCode>
                <c:ptCount val="4"/>
                <c:pt idx="0">
                  <c:v>0</c:v>
                </c:pt>
                <c:pt idx="1">
                  <c:v>2939.4453509999994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E-6C96-E44C-B099-6D05E2B879B7}"/>
            </c:ext>
          </c:extLst>
        </c:ser>
        <c:ser>
          <c:idx val="15"/>
          <c:order val="15"/>
          <c:tx>
            <c:strRef>
              <c:f>'Fig D1-1 - NMC-Co'!$J$18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F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1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NMC-Co'!$K$18:$N$18</c:f>
              <c:numCache>
                <c:formatCode>0.00</c:formatCode>
                <c:ptCount val="4"/>
                <c:pt idx="0">
                  <c:v>11035.98531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11035.98531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2-6C96-E44C-B099-6D05E2B879B7}"/>
            </c:ext>
          </c:extLst>
        </c:ser>
        <c:ser>
          <c:idx val="16"/>
          <c:order val="16"/>
          <c:tx>
            <c:strRef>
              <c:f>'Fig D1-1 - NMC-Co'!$J$19</c:f>
              <c:strCache>
                <c:ptCount val="1"/>
                <c:pt idx="0">
                  <c:v>Australia_Australia_Japan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3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5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NMC-Co'!$K$19:$N$19</c:f>
              <c:numCache>
                <c:formatCode>0.00</c:formatCode>
                <c:ptCount val="4"/>
                <c:pt idx="0">
                  <c:v>149.4</c:v>
                </c:pt>
                <c:pt idx="1">
                  <c:v>0</c:v>
                </c:pt>
                <c:pt idx="2" formatCode="General">
                  <c:v>0</c:v>
                </c:pt>
                <c:pt idx="3">
                  <c:v>149.4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6-6C96-E44C-B099-6D05E2B879B7}"/>
            </c:ext>
          </c:extLst>
        </c:ser>
        <c:ser>
          <c:idx val="17"/>
          <c:order val="17"/>
          <c:tx>
            <c:strRef>
              <c:f>'Fig D1-1 - NMC-Co'!$J$20</c:f>
              <c:strCache>
                <c:ptCount val="1"/>
                <c:pt idx="0">
                  <c:v>Canada_Canada_Japan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7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9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NMC-Co'!$K$20:$N$20</c:f>
              <c:numCache>
                <c:formatCode>0.00</c:formatCode>
                <c:ptCount val="4"/>
                <c:pt idx="0">
                  <c:v>442.8</c:v>
                </c:pt>
                <c:pt idx="1">
                  <c:v>0</c:v>
                </c:pt>
                <c:pt idx="2" formatCode="General">
                  <c:v>0</c:v>
                </c:pt>
                <c:pt idx="3">
                  <c:v>442.8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A-6C96-E44C-B099-6D05E2B879B7}"/>
            </c:ext>
          </c:extLst>
        </c:ser>
        <c:ser>
          <c:idx val="18"/>
          <c:order val="18"/>
          <c:tx>
            <c:strRef>
              <c:f>'Fig D1-1 - NMC-Co'!$J$21</c:f>
              <c:strCache>
                <c:ptCount val="1"/>
                <c:pt idx="0">
                  <c:v>Uncertain_Finland_Japan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C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NMC-Co'!$K$21:$N$21</c:f>
              <c:numCache>
                <c:formatCode>0.00</c:formatCode>
                <c:ptCount val="4"/>
                <c:pt idx="0">
                  <c:v>2082.2786109999997</c:v>
                </c:pt>
                <c:pt idx="1">
                  <c:v>0</c:v>
                </c:pt>
                <c:pt idx="2" formatCode="General">
                  <c:v>0</c:v>
                </c:pt>
                <c:pt idx="3">
                  <c:v>2082.2786109999997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D-6C96-E44C-B099-6D05E2B879B7}"/>
            </c:ext>
          </c:extLst>
        </c:ser>
        <c:ser>
          <c:idx val="19"/>
          <c:order val="19"/>
          <c:tx>
            <c:strRef>
              <c:f>'Fig D1-1 - NMC-Co'!$J$22</c:f>
              <c:strCache>
                <c:ptCount val="1"/>
                <c:pt idx="0">
                  <c:v>Madagascar_Madagascar_Japan</c:v>
                </c:pt>
              </c:strCache>
            </c:strRef>
          </c:tx>
          <c:spPr>
            <a:solidFill>
              <a:srgbClr val="F2D2B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F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NMC-Co'!$K$22:$N$22</c:f>
              <c:numCache>
                <c:formatCode>0.00</c:formatCode>
                <c:ptCount val="4"/>
                <c:pt idx="0" formatCode="General">
                  <c:v>165.6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165.6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0-6C96-E44C-B099-6D05E2B879B7}"/>
            </c:ext>
          </c:extLst>
        </c:ser>
        <c:ser>
          <c:idx val="20"/>
          <c:order val="20"/>
          <c:tx>
            <c:strRef>
              <c:f>'Fig D1-1 - NMC-Co'!$J$23</c:f>
              <c:strCache>
                <c:ptCount val="1"/>
                <c:pt idx="0">
                  <c:v>Morocco_Morocco_Japan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1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3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NMC-Co'!$K$23:$N$23</c:f>
              <c:numCache>
                <c:formatCode>0.00</c:formatCode>
                <c:ptCount val="4"/>
                <c:pt idx="0" formatCode="General">
                  <c:v>324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324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4-6C96-E44C-B099-6D05E2B879B7}"/>
            </c:ext>
          </c:extLst>
        </c:ser>
        <c:ser>
          <c:idx val="21"/>
          <c:order val="21"/>
          <c:tx>
            <c:strRef>
              <c:f>'Fig D1-1 - NMC-Co'!$J$24</c:f>
              <c:strCache>
                <c:ptCount val="1"/>
                <c:pt idx="0">
                  <c:v>Uncertain_Japan_SK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5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7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NMC-Co'!$K$24:$N$24</c:f>
              <c:numCache>
                <c:formatCode>0.00</c:formatCode>
                <c:ptCount val="4"/>
                <c:pt idx="0">
                  <c:v>610.81899999999996</c:v>
                </c:pt>
                <c:pt idx="1">
                  <c:v>0</c:v>
                </c:pt>
                <c:pt idx="2" formatCode="General">
                  <c:v>0</c:v>
                </c:pt>
                <c:pt idx="3">
                  <c:v>610.81899999999996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8-6C96-E44C-B099-6D05E2B879B7}"/>
            </c:ext>
          </c:extLst>
        </c:ser>
        <c:ser>
          <c:idx val="22"/>
          <c:order val="22"/>
          <c:tx>
            <c:strRef>
              <c:f>'Fig D1-1 - NMC-Co'!$J$25</c:f>
              <c:strCache>
                <c:ptCount val="1"/>
                <c:pt idx="0">
                  <c:v>DRC_DRC_SK</c:v>
                </c:pt>
              </c:strCache>
            </c:strRef>
          </c:tx>
          <c:spPr>
            <a:solidFill>
              <a:srgbClr val="02857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A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NMC-Co'!$K$25:$N$25</c:f>
              <c:numCache>
                <c:formatCode>0.00</c:formatCode>
                <c:ptCount val="4"/>
                <c:pt idx="0">
                  <c:v>400</c:v>
                </c:pt>
                <c:pt idx="1">
                  <c:v>0</c:v>
                </c:pt>
                <c:pt idx="2" formatCode="General">
                  <c:v>0</c:v>
                </c:pt>
                <c:pt idx="3">
                  <c:v>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B-6C96-E44C-B099-6D05E2B879B7}"/>
            </c:ext>
          </c:extLst>
        </c:ser>
        <c:ser>
          <c:idx val="23"/>
          <c:order val="23"/>
          <c:tx>
            <c:strRef>
              <c:f>'Fig D1-1 - NMC-Co'!$J$26</c:f>
              <c:strCache>
                <c:ptCount val="1"/>
                <c:pt idx="0">
                  <c:v>Uncertain_DRC_SK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C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E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NMC-Co'!$K$26:$N$26</c:f>
              <c:numCache>
                <c:formatCode>0.00</c:formatCode>
                <c:ptCount val="4"/>
                <c:pt idx="0">
                  <c:v>1123.4000000000001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1123.4000000000001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F-6C96-E44C-B099-6D05E2B879B7}"/>
            </c:ext>
          </c:extLst>
        </c:ser>
        <c:ser>
          <c:idx val="24"/>
          <c:order val="24"/>
          <c:tx>
            <c:strRef>
              <c:f>'Fig D1-1 - NMC-Co'!$J$27</c:f>
              <c:strCache>
                <c:ptCount val="1"/>
                <c:pt idx="0">
                  <c:v>Australia_Australia_SK</c:v>
                </c:pt>
              </c:strCache>
            </c:strRef>
          </c:tx>
          <c:spPr>
            <a:solidFill>
              <a:srgbClr val="EE84D4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0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2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NMC-Co'!$K$27:$N$27</c:f>
              <c:numCache>
                <c:formatCode>0.00</c:formatCode>
                <c:ptCount val="4"/>
                <c:pt idx="0">
                  <c:v>117.6</c:v>
                </c:pt>
                <c:pt idx="1">
                  <c:v>0</c:v>
                </c:pt>
                <c:pt idx="2" formatCode="General">
                  <c:v>0</c:v>
                </c:pt>
                <c:pt idx="3">
                  <c:v>117.6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3-6C96-E44C-B099-6D05E2B879B7}"/>
            </c:ext>
          </c:extLst>
        </c:ser>
        <c:ser>
          <c:idx val="25"/>
          <c:order val="25"/>
          <c:tx>
            <c:strRef>
              <c:f>'Fig D1-1 - NMC-Co'!$J$28</c:f>
              <c:strCache>
                <c:ptCount val="1"/>
                <c:pt idx="0">
                  <c:v>Canada_Canada_SK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4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6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NMC-Co'!$K$28:$N$28</c:f>
              <c:numCache>
                <c:formatCode>0.00</c:formatCode>
                <c:ptCount val="4"/>
                <c:pt idx="0">
                  <c:v>56.4</c:v>
                </c:pt>
                <c:pt idx="1">
                  <c:v>0</c:v>
                </c:pt>
                <c:pt idx="2" formatCode="General">
                  <c:v>0</c:v>
                </c:pt>
                <c:pt idx="3">
                  <c:v>56.4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7-6C96-E44C-B099-6D05E2B879B7}"/>
            </c:ext>
          </c:extLst>
        </c:ser>
        <c:ser>
          <c:idx val="26"/>
          <c:order val="26"/>
          <c:tx>
            <c:strRef>
              <c:f>'Fig D1-1 - NMC-Co'!$J$29</c:f>
              <c:strCache>
                <c:ptCount val="1"/>
                <c:pt idx="0">
                  <c:v>Morocco_Morocco_SK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8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A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NMC-Co'!$K$29:$N$29</c:f>
              <c:numCache>
                <c:formatCode>0.00</c:formatCode>
                <c:ptCount val="4"/>
                <c:pt idx="0" formatCode="General">
                  <c:v>25.8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25.8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B-6C96-E44C-B099-6D05E2B879B7}"/>
            </c:ext>
          </c:extLst>
        </c:ser>
        <c:ser>
          <c:idx val="27"/>
          <c:order val="27"/>
          <c:tx>
            <c:strRef>
              <c:f>'Fig D1-1 - NMC-Co'!$J$30</c:f>
              <c:strCache>
                <c:ptCount val="1"/>
                <c:pt idx="0">
                  <c:v>Uncertain_Uncertain_SK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C-6C96-E44C-B099-6D05E2B879B7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E-6C96-E44C-B099-6D05E2B879B7}"/>
              </c:ext>
            </c:extLst>
          </c:dPt>
          <c:cat>
            <c:strRef>
              <c:f>'Fig D1-1 - NMC-Co'!$K$2:$N$2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NMC-Co'!$K$30:$N$30</c:f>
              <c:numCache>
                <c:formatCode>0.00</c:formatCode>
                <c:ptCount val="4"/>
                <c:pt idx="0">
                  <c:v>2939.4453509999994</c:v>
                </c:pt>
                <c:pt idx="1">
                  <c:v>0</c:v>
                </c:pt>
                <c:pt idx="2" formatCode="General">
                  <c:v>0</c:v>
                </c:pt>
                <c:pt idx="3">
                  <c:v>2939.4453509999994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F-6C96-E44C-B099-6D05E2B879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2870790"/>
        <c:axId val="1790234356"/>
      </c:barChart>
      <c:catAx>
        <c:axId val="2628707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0234356"/>
        <c:crosses val="autoZero"/>
        <c:auto val="1"/>
        <c:lblAlgn val="ctr"/>
        <c:lblOffset val="100"/>
        <c:noMultiLvlLbl val="1"/>
      </c:catAx>
      <c:valAx>
        <c:axId val="1790234356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62870790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D1-1 - NMC-Co'!$S$3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NMC-Co'!$T$3:$W$3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11035.98531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EADC-DA49-9BB5-C535FEBA0810}"/>
            </c:ext>
          </c:extLst>
        </c:ser>
        <c:ser>
          <c:idx val="1"/>
          <c:order val="1"/>
          <c:tx>
            <c:strRef>
              <c:f>'Fig D1-1 - NMC-Co'!$S$4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NMC-Co'!$T$4:$W$4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3164.0786109999999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EADC-DA49-9BB5-C535FEBA0810}"/>
            </c:ext>
          </c:extLst>
        </c:ser>
        <c:ser>
          <c:idx val="2"/>
          <c:order val="2"/>
          <c:tx>
            <c:strRef>
              <c:f>'Fig D1-1 - NMC-Co'!$S$5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NMC-Co'!$T$5:$W$5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5273.4643509999996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EADC-DA49-9BB5-C535FEBA0810}"/>
            </c:ext>
          </c:extLst>
        </c:ser>
        <c:ser>
          <c:idx val="3"/>
          <c:order val="3"/>
          <c:tx>
            <c:strRef>
              <c:f>'Fig D1-1 - NMC-Co'!$S$6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NMC-Co'!$T$6:$W$6</c:f>
              <c:numCache>
                <c:formatCode>0.00</c:formatCode>
                <c:ptCount val="4"/>
                <c:pt idx="0">
                  <c:v>0</c:v>
                </c:pt>
                <c:pt idx="1">
                  <c:v>11035.98531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EADC-DA49-9BB5-C535FEBA0810}"/>
            </c:ext>
          </c:extLst>
        </c:ser>
        <c:ser>
          <c:idx val="4"/>
          <c:order val="4"/>
          <c:tx>
            <c:strRef>
              <c:f>'Fig D1-1 - NMC-Co'!$S$7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NMC-Co'!$T$7:$W$7</c:f>
              <c:numCache>
                <c:formatCode>0.00</c:formatCode>
                <c:ptCount val="4"/>
                <c:pt idx="0">
                  <c:v>0</c:v>
                </c:pt>
                <c:pt idx="1">
                  <c:v>642.94799999999998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EADC-DA49-9BB5-C535FEBA0810}"/>
            </c:ext>
          </c:extLst>
        </c:ser>
        <c:ser>
          <c:idx val="5"/>
          <c:order val="5"/>
          <c:tx>
            <c:strRef>
              <c:f>'Fig D1-1 - NMC-Co'!$S$8</c:f>
              <c:strCache>
                <c:ptCount val="1"/>
                <c:pt idx="0">
                  <c:v>Canada_Japan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NMC-Co'!$T$8:$W$8</c:f>
              <c:numCache>
                <c:formatCode>0.00</c:formatCode>
                <c:ptCount val="4"/>
                <c:pt idx="0">
                  <c:v>0</c:v>
                </c:pt>
                <c:pt idx="1">
                  <c:v>442.8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EADC-DA49-9BB5-C535FEBA0810}"/>
            </c:ext>
          </c:extLst>
        </c:ser>
        <c:ser>
          <c:idx val="6"/>
          <c:order val="6"/>
          <c:tx>
            <c:strRef>
              <c:f>'Fig D1-1 - NMC-Co'!$S$9</c:f>
              <c:strCache>
                <c:ptCount val="1"/>
                <c:pt idx="0">
                  <c:v>Finland_Japan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NMC-Co'!$T$9:$W$9</c:f>
              <c:numCache>
                <c:formatCode>0.00</c:formatCode>
                <c:ptCount val="4"/>
                <c:pt idx="0">
                  <c:v>0</c:v>
                </c:pt>
                <c:pt idx="1">
                  <c:v>1588.730611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EADC-DA49-9BB5-C535FEBA0810}"/>
            </c:ext>
          </c:extLst>
        </c:ser>
        <c:ser>
          <c:idx val="7"/>
          <c:order val="7"/>
          <c:tx>
            <c:strRef>
              <c:f>'Fig D1-1 - NMC-Co'!$S$10</c:f>
              <c:strCache>
                <c:ptCount val="1"/>
                <c:pt idx="0">
                  <c:v>Madagascar_Japan</c:v>
                </c:pt>
              </c:strCache>
            </c:strRef>
          </c:tx>
          <c:spPr>
            <a:solidFill>
              <a:srgbClr val="F2D2B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NMC-Co'!$T$10:$W$10</c:f>
              <c:numCache>
                <c:formatCode>0.00</c:formatCode>
                <c:ptCount val="4"/>
                <c:pt idx="0">
                  <c:v>0</c:v>
                </c:pt>
                <c:pt idx="1">
                  <c:v>165.6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EADC-DA49-9BB5-C535FEBA0810}"/>
            </c:ext>
          </c:extLst>
        </c:ser>
        <c:ser>
          <c:idx val="8"/>
          <c:order val="8"/>
          <c:tx>
            <c:strRef>
              <c:f>'Fig D1-1 - NMC-Co'!$S$11</c:f>
              <c:strCache>
                <c:ptCount val="1"/>
                <c:pt idx="0">
                  <c:v>Morocco_Japan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NMC-Co'!$T$11:$W$11</c:f>
              <c:numCache>
                <c:formatCode>0.00</c:formatCode>
                <c:ptCount val="4"/>
                <c:pt idx="0">
                  <c:v>0</c:v>
                </c:pt>
                <c:pt idx="1">
                  <c:v>324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EADC-DA49-9BB5-C535FEBA0810}"/>
            </c:ext>
          </c:extLst>
        </c:ser>
        <c:ser>
          <c:idx val="9"/>
          <c:order val="9"/>
          <c:tx>
            <c:strRef>
              <c:f>'Fig D1-1 - NMC-Co'!$S$12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NMC-Co'!$T$12:$W$12</c:f>
              <c:numCache>
                <c:formatCode>0.00</c:formatCode>
                <c:ptCount val="4"/>
                <c:pt idx="0">
                  <c:v>0</c:v>
                </c:pt>
                <c:pt idx="1">
                  <c:v>1890.269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EADC-DA49-9BB5-C535FEBA0810}"/>
            </c:ext>
          </c:extLst>
        </c:ser>
        <c:ser>
          <c:idx val="10"/>
          <c:order val="10"/>
          <c:tx>
            <c:strRef>
              <c:f>'Fig D1-1 - NMC-Co'!$S$13</c:f>
              <c:strCache>
                <c:ptCount val="1"/>
                <c:pt idx="0">
                  <c:v>Japan_SK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NMC-Co'!$T$13:$W$13</c:f>
              <c:numCache>
                <c:formatCode>0.00</c:formatCode>
                <c:ptCount val="4"/>
                <c:pt idx="0">
                  <c:v>0</c:v>
                </c:pt>
                <c:pt idx="1">
                  <c:v>610.81899999999996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EADC-DA49-9BB5-C535FEBA0810}"/>
            </c:ext>
          </c:extLst>
        </c:ser>
        <c:ser>
          <c:idx val="11"/>
          <c:order val="11"/>
          <c:tx>
            <c:strRef>
              <c:f>'Fig D1-1 - NMC-Co'!$S$14</c:f>
              <c:strCache>
                <c:ptCount val="1"/>
                <c:pt idx="0">
                  <c:v>DRC_SK</c:v>
                </c:pt>
              </c:strCache>
            </c:strRef>
          </c:tx>
          <c:spPr>
            <a:solidFill>
              <a:srgbClr val="02857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NMC-Co'!$T$14:$W$14</c:f>
              <c:numCache>
                <c:formatCode>0.00</c:formatCode>
                <c:ptCount val="4"/>
                <c:pt idx="0">
                  <c:v>0</c:v>
                </c:pt>
                <c:pt idx="1">
                  <c:v>912.58100000000013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EADC-DA49-9BB5-C535FEBA0810}"/>
            </c:ext>
          </c:extLst>
        </c:ser>
        <c:ser>
          <c:idx val="12"/>
          <c:order val="12"/>
          <c:tx>
            <c:strRef>
              <c:f>'Fig D1-1 - NMC-Co'!$S$15</c:f>
              <c:strCache>
                <c:ptCount val="1"/>
                <c:pt idx="0">
                  <c:v>Canada_SK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NMC-Co'!$T$15:$W$15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EADC-DA49-9BB5-C535FEBA0810}"/>
            </c:ext>
          </c:extLst>
        </c:ser>
        <c:ser>
          <c:idx val="13"/>
          <c:order val="13"/>
          <c:tx>
            <c:strRef>
              <c:f>'Fig D1-1 - NMC-Co'!$S$16</c:f>
              <c:strCache>
                <c:ptCount val="1"/>
                <c:pt idx="0">
                  <c:v>Morocco_SK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NMC-Co'!$T$16:$W$16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B-EADC-DA49-9BB5-C535FEBA0810}"/>
            </c:ext>
          </c:extLst>
        </c:ser>
        <c:ser>
          <c:idx val="14"/>
          <c:order val="14"/>
          <c:tx>
            <c:strRef>
              <c:f>'Fig D1-1 - NMC-Co'!$S$17</c:f>
              <c:strCache>
                <c:ptCount val="1"/>
                <c:pt idx="0">
                  <c:v>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NMC-Co'!$T$17:$W$17</c:f>
              <c:numCache>
                <c:formatCode>0.00</c:formatCode>
                <c:ptCount val="4"/>
                <c:pt idx="0">
                  <c:v>0</c:v>
                </c:pt>
                <c:pt idx="1">
                  <c:v>1859.7953509999998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F-EADC-DA49-9BB5-C535FEBA0810}"/>
            </c:ext>
          </c:extLst>
        </c:ser>
        <c:ser>
          <c:idx val="15"/>
          <c:order val="15"/>
          <c:tx>
            <c:strRef>
              <c:f>'Fig D1-1 - NMC-Co'!$S$18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NMC-Co'!$T$18:$W$18</c:f>
              <c:numCache>
                <c:formatCode>0.00</c:formatCode>
                <c:ptCount val="4"/>
                <c:pt idx="0">
                  <c:v>11035.98531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11035.98531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3-EADC-DA49-9BB5-C535FEBA0810}"/>
            </c:ext>
          </c:extLst>
        </c:ser>
        <c:ser>
          <c:idx val="16"/>
          <c:order val="16"/>
          <c:tx>
            <c:strRef>
              <c:f>'Fig D1-1 - NMC-Co'!$S$19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NMC-Co'!$T$19:$W$19</c:f>
              <c:numCache>
                <c:formatCode>0.00</c:formatCode>
                <c:ptCount val="4"/>
                <c:pt idx="0">
                  <c:v>642.94799999999998</c:v>
                </c:pt>
                <c:pt idx="1">
                  <c:v>0</c:v>
                </c:pt>
                <c:pt idx="2" formatCode="General">
                  <c:v>0</c:v>
                </c:pt>
                <c:pt idx="3">
                  <c:v>642.94799999999998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7-EADC-DA49-9BB5-C535FEBA0810}"/>
            </c:ext>
          </c:extLst>
        </c:ser>
        <c:ser>
          <c:idx val="17"/>
          <c:order val="17"/>
          <c:tx>
            <c:strRef>
              <c:f>'Fig D1-1 - NMC-Co'!$S$20</c:f>
              <c:strCache>
                <c:ptCount val="1"/>
                <c:pt idx="0">
                  <c:v>Canada_Canada_Japan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NMC-Co'!$T$20:$W$20</c:f>
              <c:numCache>
                <c:formatCode>0.00</c:formatCode>
                <c:ptCount val="4"/>
                <c:pt idx="0">
                  <c:v>442.8</c:v>
                </c:pt>
                <c:pt idx="1">
                  <c:v>0</c:v>
                </c:pt>
                <c:pt idx="2" formatCode="General">
                  <c:v>0</c:v>
                </c:pt>
                <c:pt idx="3">
                  <c:v>442.8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B-EADC-DA49-9BB5-C535FEBA0810}"/>
            </c:ext>
          </c:extLst>
        </c:ser>
        <c:ser>
          <c:idx val="18"/>
          <c:order val="18"/>
          <c:tx>
            <c:strRef>
              <c:f>'Fig D1-1 - NMC-Co'!$S$21</c:f>
              <c:strCache>
                <c:ptCount val="1"/>
                <c:pt idx="0">
                  <c:v>Uncertain_Finland_Japan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NMC-Co'!$T$21:$W$21</c:f>
              <c:numCache>
                <c:formatCode>0.00</c:formatCode>
                <c:ptCount val="4"/>
                <c:pt idx="0">
                  <c:v>1588.730611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1588.730611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E-EADC-DA49-9BB5-C535FEBA0810}"/>
            </c:ext>
          </c:extLst>
        </c:ser>
        <c:ser>
          <c:idx val="19"/>
          <c:order val="19"/>
          <c:tx>
            <c:strRef>
              <c:f>'Fig D1-1 - NMC-Co'!$S$22</c:f>
              <c:strCache>
                <c:ptCount val="1"/>
                <c:pt idx="0">
                  <c:v>Madagascar_Madagascar_Japan</c:v>
                </c:pt>
              </c:strCache>
            </c:strRef>
          </c:tx>
          <c:spPr>
            <a:solidFill>
              <a:srgbClr val="F2D2B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NMC-Co'!$T$22:$W$22</c:f>
              <c:numCache>
                <c:formatCode>0.00</c:formatCode>
                <c:ptCount val="4"/>
                <c:pt idx="0" formatCode="General">
                  <c:v>165.6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165.6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1-EADC-DA49-9BB5-C535FEBA0810}"/>
            </c:ext>
          </c:extLst>
        </c:ser>
        <c:ser>
          <c:idx val="20"/>
          <c:order val="20"/>
          <c:tx>
            <c:strRef>
              <c:f>'Fig D1-1 - NMC-Co'!$S$23</c:f>
              <c:strCache>
                <c:ptCount val="1"/>
                <c:pt idx="0">
                  <c:v>Morocco_Morocco_Japan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2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4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NMC-Co'!$T$23:$W$23</c:f>
              <c:numCache>
                <c:formatCode>0.00</c:formatCode>
                <c:ptCount val="4"/>
                <c:pt idx="0" formatCode="General">
                  <c:v>324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324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5-EADC-DA49-9BB5-C535FEBA0810}"/>
            </c:ext>
          </c:extLst>
        </c:ser>
        <c:ser>
          <c:idx val="21"/>
          <c:order val="21"/>
          <c:tx>
            <c:strRef>
              <c:f>'Fig D1-1 - NMC-Co'!$S$24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EADC-DA49-9BB5-C535FEBA0810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9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NMC-Co'!$T$24:$W$24</c:f>
              <c:numCache>
                <c:formatCode>0.00</c:formatCode>
                <c:ptCount val="4"/>
                <c:pt idx="0">
                  <c:v>1890.269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1890.269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A-EADC-DA49-9BB5-C535FEBA0810}"/>
            </c:ext>
          </c:extLst>
        </c:ser>
        <c:ser>
          <c:idx val="22"/>
          <c:order val="22"/>
          <c:tx>
            <c:strRef>
              <c:f>'Fig D1-1 - NMC-Co'!$S$25</c:f>
              <c:strCache>
                <c:ptCount val="1"/>
                <c:pt idx="0">
                  <c:v>Uncertain_Japan_SK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NMC-Co'!$T$25:$W$25</c:f>
              <c:numCache>
                <c:formatCode>0.00</c:formatCode>
                <c:ptCount val="4"/>
                <c:pt idx="0">
                  <c:v>610.81899999999996</c:v>
                </c:pt>
                <c:pt idx="1">
                  <c:v>0</c:v>
                </c:pt>
                <c:pt idx="2" formatCode="General">
                  <c:v>0</c:v>
                </c:pt>
                <c:pt idx="3">
                  <c:v>610.81899999999996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D-EADC-DA49-9BB5-C535FEBA0810}"/>
            </c:ext>
          </c:extLst>
        </c:ser>
        <c:ser>
          <c:idx val="23"/>
          <c:order val="23"/>
          <c:tx>
            <c:strRef>
              <c:f>'Fig D1-1 - NMC-Co'!$S$26</c:f>
              <c:strCache>
                <c:ptCount val="1"/>
                <c:pt idx="0">
                  <c:v>DRC_DRC_SK</c:v>
                </c:pt>
              </c:strCache>
            </c:strRef>
          </c:tx>
          <c:spPr>
            <a:solidFill>
              <a:srgbClr val="02857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NMC-Co'!$T$26:$W$26</c:f>
              <c:numCache>
                <c:formatCode>0.00</c:formatCode>
                <c:ptCount val="4"/>
                <c:pt idx="0">
                  <c:v>400</c:v>
                </c:pt>
                <c:pt idx="1">
                  <c:v>0</c:v>
                </c:pt>
                <c:pt idx="2" formatCode="General">
                  <c:v>0</c:v>
                </c:pt>
                <c:pt idx="3">
                  <c:v>400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1-EADC-DA49-9BB5-C535FEBA0810}"/>
            </c:ext>
          </c:extLst>
        </c:ser>
        <c:ser>
          <c:idx val="24"/>
          <c:order val="24"/>
          <c:tx>
            <c:strRef>
              <c:f>'Fig D1-1 - NMC-Co'!$S$27</c:f>
              <c:strCache>
                <c:ptCount val="1"/>
                <c:pt idx="0">
                  <c:v>Uncertain_DRC_SK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2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4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NMC-Co'!$T$27:$W$27</c:f>
              <c:numCache>
                <c:formatCode>0.00</c:formatCode>
                <c:ptCount val="4"/>
                <c:pt idx="0">
                  <c:v>512.58100000000013</c:v>
                </c:pt>
                <c:pt idx="1">
                  <c:v>0</c:v>
                </c:pt>
                <c:pt idx="2" formatCode="General">
                  <c:v>0</c:v>
                </c:pt>
                <c:pt idx="3">
                  <c:v>512.58100000000013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5-EADC-DA49-9BB5-C535FEBA0810}"/>
            </c:ext>
          </c:extLst>
        </c:ser>
        <c:ser>
          <c:idx val="25"/>
          <c:order val="25"/>
          <c:tx>
            <c:strRef>
              <c:f>'Fig D1-1 - NMC-Co'!$S$28</c:f>
              <c:strCache>
                <c:ptCount val="1"/>
                <c:pt idx="0">
                  <c:v>Canada_Canada_SK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6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8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NMC-Co'!$T$28:$W$28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9-EADC-DA49-9BB5-C535FEBA0810}"/>
            </c:ext>
          </c:extLst>
        </c:ser>
        <c:ser>
          <c:idx val="26"/>
          <c:order val="26"/>
          <c:tx>
            <c:strRef>
              <c:f>'Fig D1-1 - NMC-Co'!$S$29</c:f>
              <c:strCache>
                <c:ptCount val="1"/>
                <c:pt idx="0">
                  <c:v>Morocco_Morocco_SK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A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C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NMC-Co'!$T$29:$W$29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D-EADC-DA49-9BB5-C535FEBA0810}"/>
            </c:ext>
          </c:extLst>
        </c:ser>
        <c:ser>
          <c:idx val="27"/>
          <c:order val="27"/>
          <c:tx>
            <c:strRef>
              <c:f>'Fig D1-1 - NMC-Co'!$S$30</c:f>
              <c:strCache>
                <c:ptCount val="1"/>
                <c:pt idx="0">
                  <c:v>Uncertain_Uncertain_SK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E-EADC-DA49-9BB5-C535FEBA0810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0-EADC-DA49-9BB5-C535FEBA0810}"/>
              </c:ext>
            </c:extLst>
          </c:dPt>
          <c:cat>
            <c:strRef>
              <c:f>'Fig D1-1 - NMC-Co'!$T$2:$W$2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NMC-Co'!$T$30:$W$30</c:f>
              <c:numCache>
                <c:formatCode>0.00</c:formatCode>
                <c:ptCount val="4"/>
                <c:pt idx="0">
                  <c:v>1859.7953509999998</c:v>
                </c:pt>
                <c:pt idx="1">
                  <c:v>0</c:v>
                </c:pt>
                <c:pt idx="2" formatCode="General">
                  <c:v>0</c:v>
                </c:pt>
                <c:pt idx="3">
                  <c:v>1859.7953509999998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1-EADC-DA49-9BB5-C535FEBA0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43178998"/>
        <c:axId val="343009272"/>
      </c:barChart>
      <c:catAx>
        <c:axId val="6431789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43009272"/>
        <c:crosses val="autoZero"/>
        <c:auto val="1"/>
        <c:lblAlgn val="ctr"/>
        <c:lblOffset val="100"/>
        <c:noMultiLvlLbl val="1"/>
      </c:catAx>
      <c:valAx>
        <c:axId val="343009272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43178998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'Fig D1-1 - NMC-Co'!$AB$3</c:f>
              <c:strCache>
                <c:ptCount val="1"/>
                <c:pt idx="0">
                  <c:v>China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NMC-Co'!$AC$3:$AF$3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11035.98531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135-A14C-98EE-41E4FF10E6C6}"/>
            </c:ext>
          </c:extLst>
        </c:ser>
        <c:ser>
          <c:idx val="1"/>
          <c:order val="1"/>
          <c:tx>
            <c:strRef>
              <c:f>'Fig D1-1 - NMC-Co'!$AB$4</c:f>
              <c:strCache>
                <c:ptCount val="1"/>
                <c:pt idx="0">
                  <c:v>Japan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NMC-Co'!$AC$4:$AF$4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3164.0786109999999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4135-A14C-98EE-41E4FF10E6C6}"/>
            </c:ext>
          </c:extLst>
        </c:ser>
        <c:ser>
          <c:idx val="2"/>
          <c:order val="2"/>
          <c:tx>
            <c:strRef>
              <c:f>'Fig D1-1 - NMC-Co'!$AB$5</c:f>
              <c:strCache>
                <c:ptCount val="1"/>
                <c:pt idx="0">
                  <c:v>South Korea</c:v>
                </c:pt>
              </c:strCache>
            </c:strRef>
          </c:tx>
          <c:spPr>
            <a:solidFill>
              <a:srgbClr val="6D9EEB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2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4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NMC-Co'!$AC$5:$AF$5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5273.4643509999996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4135-A14C-98EE-41E4FF10E6C6}"/>
            </c:ext>
          </c:extLst>
        </c:ser>
        <c:ser>
          <c:idx val="3"/>
          <c:order val="3"/>
          <c:tx>
            <c:strRef>
              <c:f>'Fig D1-1 - NMC-Co'!$AB$6</c:f>
              <c:strCache>
                <c:ptCount val="1"/>
                <c:pt idx="0">
                  <c:v>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6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NMC-Co'!$AC$6:$AF$6</c:f>
              <c:numCache>
                <c:formatCode>0.00</c:formatCode>
                <c:ptCount val="4"/>
                <c:pt idx="0">
                  <c:v>0</c:v>
                </c:pt>
                <c:pt idx="1">
                  <c:v>11035.98531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4135-A14C-98EE-41E4FF10E6C6}"/>
            </c:ext>
          </c:extLst>
        </c:ser>
        <c:ser>
          <c:idx val="4"/>
          <c:order val="4"/>
          <c:tx>
            <c:strRef>
              <c:f>'Fig D1-1 - NMC-Co'!$AB$7</c:f>
              <c:strCache>
                <c:ptCount val="1"/>
                <c:pt idx="0">
                  <c:v>China_Japan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8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A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NMC-Co'!$AC$7:$AF$7</c:f>
              <c:numCache>
                <c:formatCode>0.00</c:formatCode>
                <c:ptCount val="4"/>
                <c:pt idx="0">
                  <c:v>0</c:v>
                </c:pt>
                <c:pt idx="1">
                  <c:v>642.94799999999998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B-4135-A14C-98EE-41E4FF10E6C6}"/>
            </c:ext>
          </c:extLst>
        </c:ser>
        <c:ser>
          <c:idx val="5"/>
          <c:order val="5"/>
          <c:tx>
            <c:strRef>
              <c:f>'Fig D1-1 - NMC-Co'!$AB$8</c:f>
              <c:strCache>
                <c:ptCount val="1"/>
                <c:pt idx="0">
                  <c:v>Canada_Japan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C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NMC-Co'!$AC$8:$AF$8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D-4135-A14C-98EE-41E4FF10E6C6}"/>
            </c:ext>
          </c:extLst>
        </c:ser>
        <c:ser>
          <c:idx val="6"/>
          <c:order val="6"/>
          <c:tx>
            <c:strRef>
              <c:f>'Fig D1-1 - NMC-Co'!$AB$9</c:f>
              <c:strCache>
                <c:ptCount val="1"/>
                <c:pt idx="0">
                  <c:v>Finland_Japan</c:v>
                </c:pt>
              </c:strCache>
            </c:strRef>
          </c:tx>
          <c:spPr>
            <a:solidFill>
              <a:srgbClr val="361C75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NMC-Co'!$AC$9:$AF$9</c:f>
              <c:numCache>
                <c:formatCode>0.00</c:formatCode>
                <c:ptCount val="4"/>
                <c:pt idx="0">
                  <c:v>0</c:v>
                </c:pt>
                <c:pt idx="1">
                  <c:v>2521.130611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E-4135-A14C-98EE-41E4FF10E6C6}"/>
            </c:ext>
          </c:extLst>
        </c:ser>
        <c:ser>
          <c:idx val="7"/>
          <c:order val="7"/>
          <c:tx>
            <c:strRef>
              <c:f>'Fig D1-1 - NMC-Co'!$AB$10</c:f>
              <c:strCache>
                <c:ptCount val="1"/>
                <c:pt idx="0">
                  <c:v>Madagascar_Japan</c:v>
                </c:pt>
              </c:strCache>
            </c:strRef>
          </c:tx>
          <c:spPr>
            <a:solidFill>
              <a:srgbClr val="F2D2B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F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NMC-Co'!$AC$10:$AF$10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0-4135-A14C-98EE-41E4FF10E6C6}"/>
            </c:ext>
          </c:extLst>
        </c:ser>
        <c:ser>
          <c:idx val="8"/>
          <c:order val="8"/>
          <c:tx>
            <c:strRef>
              <c:f>'Fig D1-1 - NMC-Co'!$AB$11</c:f>
              <c:strCache>
                <c:ptCount val="1"/>
                <c:pt idx="0">
                  <c:v>Morocco_Japan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1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NMC-Co'!$AC$11:$AF$11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2-4135-A14C-98EE-41E4FF10E6C6}"/>
            </c:ext>
          </c:extLst>
        </c:ser>
        <c:ser>
          <c:idx val="9"/>
          <c:order val="9"/>
          <c:tx>
            <c:strRef>
              <c:f>'Fig D1-1 - NMC-Co'!$AB$12</c:f>
              <c:strCache>
                <c:ptCount val="1"/>
                <c:pt idx="0">
                  <c:v>China_SK</c:v>
                </c:pt>
              </c:strCache>
            </c:strRef>
          </c:tx>
          <c:spPr>
            <a:solidFill>
              <a:srgbClr val="E8131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3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NMC-Co'!$AC$12:$AF$12</c:f>
              <c:numCache>
                <c:formatCode>0.00</c:formatCode>
                <c:ptCount val="4"/>
                <c:pt idx="0">
                  <c:v>0</c:v>
                </c:pt>
                <c:pt idx="1">
                  <c:v>1890.269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4-4135-A14C-98EE-41E4FF10E6C6}"/>
            </c:ext>
          </c:extLst>
        </c:ser>
        <c:ser>
          <c:idx val="10"/>
          <c:order val="10"/>
          <c:tx>
            <c:strRef>
              <c:f>'Fig D1-1 - NMC-Co'!$AB$13</c:f>
              <c:strCache>
                <c:ptCount val="1"/>
                <c:pt idx="0">
                  <c:v>Japan_SK</c:v>
                </c:pt>
              </c:strCache>
            </c:strRef>
          </c:tx>
          <c:spPr>
            <a:solidFill>
              <a:srgbClr val="FB9432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5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NMC-Co'!$AC$13:$AF$13</c:f>
              <c:numCache>
                <c:formatCode>0.00</c:formatCode>
                <c:ptCount val="4"/>
                <c:pt idx="0">
                  <c:v>0</c:v>
                </c:pt>
                <c:pt idx="1">
                  <c:v>610.81899999999996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6-4135-A14C-98EE-41E4FF10E6C6}"/>
            </c:ext>
          </c:extLst>
        </c:ser>
        <c:ser>
          <c:idx val="11"/>
          <c:order val="11"/>
          <c:tx>
            <c:strRef>
              <c:f>'Fig D1-1 - NMC-Co'!$AB$14</c:f>
              <c:strCache>
                <c:ptCount val="1"/>
                <c:pt idx="0">
                  <c:v>DRC_SK</c:v>
                </c:pt>
              </c:strCache>
            </c:strRef>
          </c:tx>
          <c:spPr>
            <a:solidFill>
              <a:srgbClr val="02857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7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NMC-Co'!$AC$14:$AF$14</c:f>
              <c:numCache>
                <c:formatCode>0.00</c:formatCode>
                <c:ptCount val="4"/>
                <c:pt idx="0">
                  <c:v>0</c:v>
                </c:pt>
                <c:pt idx="1">
                  <c:v>912.58100000000013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8-4135-A14C-98EE-41E4FF10E6C6}"/>
            </c:ext>
          </c:extLst>
        </c:ser>
        <c:ser>
          <c:idx val="12"/>
          <c:order val="12"/>
          <c:tx>
            <c:strRef>
              <c:f>'Fig D1-1 - NMC-Co'!$AB$15</c:f>
              <c:strCache>
                <c:ptCount val="1"/>
                <c:pt idx="0">
                  <c:v>Canada_SK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9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NMC-Co'!$AC$15:$AF$15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A-4135-A14C-98EE-41E4FF10E6C6}"/>
            </c:ext>
          </c:extLst>
        </c:ser>
        <c:ser>
          <c:idx val="13"/>
          <c:order val="13"/>
          <c:tx>
            <c:strRef>
              <c:f>'Fig D1-1 - NMC-Co'!$AB$16</c:f>
              <c:strCache>
                <c:ptCount val="1"/>
                <c:pt idx="0">
                  <c:v>Morocco_SK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NMC-Co'!$AC$16:$AF$16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B-4135-A14C-98EE-41E4FF10E6C6}"/>
            </c:ext>
          </c:extLst>
        </c:ser>
        <c:ser>
          <c:idx val="14"/>
          <c:order val="14"/>
          <c:tx>
            <c:strRef>
              <c:f>'Fig D1-1 - NMC-Co'!$AB$17</c:f>
              <c:strCache>
                <c:ptCount val="1"/>
                <c:pt idx="0">
                  <c:v>Uncertain_SK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1C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1E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NMC-Co'!$AC$17:$AF$17</c:f>
              <c:numCache>
                <c:formatCode>0.00</c:formatCode>
                <c:ptCount val="4"/>
                <c:pt idx="0">
                  <c:v>0</c:v>
                </c:pt>
                <c:pt idx="1">
                  <c:v>1859.7953509999998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1F-4135-A14C-98EE-41E4FF10E6C6}"/>
            </c:ext>
          </c:extLst>
        </c:ser>
        <c:ser>
          <c:idx val="15"/>
          <c:order val="15"/>
          <c:tx>
            <c:strRef>
              <c:f>'Fig D1-1 - NMC-Co'!$AB$18</c:f>
              <c:strCache>
                <c:ptCount val="1"/>
                <c:pt idx="0">
                  <c:v>China_China_China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0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CC00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2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NMC-Co'!$AC$18:$AF$18</c:f>
              <c:numCache>
                <c:formatCode>0.00</c:formatCode>
                <c:ptCount val="4"/>
                <c:pt idx="0">
                  <c:v>11035.98531</c:v>
                </c:pt>
                <c:pt idx="1">
                  <c:v>0</c:v>
                </c:pt>
                <c:pt idx="2" formatCode="General">
                  <c:v>0</c:v>
                </c:pt>
                <c:pt idx="3">
                  <c:v>11035.98531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3-4135-A14C-98EE-41E4FF10E6C6}"/>
            </c:ext>
          </c:extLst>
        </c:ser>
        <c:ser>
          <c:idx val="16"/>
          <c:order val="16"/>
          <c:tx>
            <c:strRef>
              <c:f>'Fig D1-1 - NMC-Co'!$AB$19</c:f>
              <c:strCache>
                <c:ptCount val="1"/>
                <c:pt idx="0">
                  <c:v>China_China_Japan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4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6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NMC-Co'!$AC$19:$AF$19</c:f>
              <c:numCache>
                <c:formatCode>0.00</c:formatCode>
                <c:ptCount val="4"/>
                <c:pt idx="0">
                  <c:v>642.94799999999998</c:v>
                </c:pt>
                <c:pt idx="1">
                  <c:v>0</c:v>
                </c:pt>
                <c:pt idx="2" formatCode="General">
                  <c:v>0</c:v>
                </c:pt>
                <c:pt idx="3">
                  <c:v>642.94799999999998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7-4135-A14C-98EE-41E4FF10E6C6}"/>
            </c:ext>
          </c:extLst>
        </c:ser>
        <c:ser>
          <c:idx val="17"/>
          <c:order val="17"/>
          <c:tx>
            <c:strRef>
              <c:f>'Fig D1-1 - NMC-Co'!$AB$20</c:f>
              <c:strCache>
                <c:ptCount val="1"/>
                <c:pt idx="0">
                  <c:v>Canada_Canada_Japan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28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A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NMC-Co'!$AC$20:$AF$20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B-4135-A14C-98EE-41E4FF10E6C6}"/>
            </c:ext>
          </c:extLst>
        </c:ser>
        <c:ser>
          <c:idx val="18"/>
          <c:order val="18"/>
          <c:tx>
            <c:strRef>
              <c:f>'Fig D1-1 - NMC-Co'!$AB$21</c:f>
              <c:strCache>
                <c:ptCount val="1"/>
                <c:pt idx="0">
                  <c:v>Uncertain_Finland_Japan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2D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NMC-Co'!$AC$21:$AF$21</c:f>
              <c:numCache>
                <c:formatCode>0.00</c:formatCode>
                <c:ptCount val="4"/>
                <c:pt idx="0">
                  <c:v>2521.130611</c:v>
                </c:pt>
                <c:pt idx="1">
                  <c:v>0</c:v>
                </c:pt>
                <c:pt idx="2" formatCode="General">
                  <c:v>0</c:v>
                </c:pt>
                <c:pt idx="3">
                  <c:v>2521.130611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2E-4135-A14C-98EE-41E4FF10E6C6}"/>
            </c:ext>
          </c:extLst>
        </c:ser>
        <c:ser>
          <c:idx val="19"/>
          <c:order val="19"/>
          <c:tx>
            <c:strRef>
              <c:f>'Fig D1-1 - NMC-Co'!$AB$22</c:f>
              <c:strCache>
                <c:ptCount val="1"/>
                <c:pt idx="0">
                  <c:v>Madagascar_Madagascar_Japan</c:v>
                </c:pt>
              </c:strCache>
            </c:strRef>
          </c:tx>
          <c:spPr>
            <a:solidFill>
              <a:srgbClr val="F2D2B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0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NMC-Co'!$AC$22:$AF$22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1-4135-A14C-98EE-41E4FF10E6C6}"/>
            </c:ext>
          </c:extLst>
        </c:ser>
        <c:ser>
          <c:idx val="20"/>
          <c:order val="20"/>
          <c:tx>
            <c:strRef>
              <c:f>'Fig D1-1 - NMC-Co'!$AB$23</c:f>
              <c:strCache>
                <c:ptCount val="1"/>
                <c:pt idx="0">
                  <c:v>Morocco_Morocco_Japan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2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4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NMC-Co'!$AC$23:$AF$23</c:f>
              <c:numCache>
                <c:formatCode>0.00</c:formatCode>
                <c:ptCount val="4"/>
                <c:pt idx="0" formatCode="General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 formatCode="General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5-4135-A14C-98EE-41E4FF10E6C6}"/>
            </c:ext>
          </c:extLst>
        </c:ser>
        <c:ser>
          <c:idx val="21"/>
          <c:order val="21"/>
          <c:tx>
            <c:strRef>
              <c:f>'Fig D1-1 - NMC-Co'!$AB$24</c:f>
              <c:strCache>
                <c:ptCount val="1"/>
                <c:pt idx="0">
                  <c:v>China_China_SK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6-4135-A14C-98EE-41E4FF10E6C6}"/>
              </c:ext>
            </c:extLst>
          </c:dPt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7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9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NMC-Co'!$AC$24:$AF$24</c:f>
              <c:numCache>
                <c:formatCode>0.00</c:formatCode>
                <c:ptCount val="4"/>
                <c:pt idx="0">
                  <c:v>1890.269</c:v>
                </c:pt>
                <c:pt idx="1">
                  <c:v>0</c:v>
                </c:pt>
                <c:pt idx="2" formatCode="General">
                  <c:v>0</c:v>
                </c:pt>
                <c:pt idx="3">
                  <c:v>1890.269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A-4135-A14C-98EE-41E4FF10E6C6}"/>
            </c:ext>
          </c:extLst>
        </c:ser>
        <c:ser>
          <c:idx val="22"/>
          <c:order val="22"/>
          <c:tx>
            <c:strRef>
              <c:f>'Fig D1-1 - NMC-Co'!$AB$25</c:f>
              <c:strCache>
                <c:ptCount val="1"/>
                <c:pt idx="0">
                  <c:v>Uncertain_Japan_SK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3C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NMC-Co'!$AC$25:$AF$25</c:f>
              <c:numCache>
                <c:formatCode>0.00</c:formatCode>
                <c:ptCount val="4"/>
                <c:pt idx="0">
                  <c:v>610.81899999999996</c:v>
                </c:pt>
                <c:pt idx="1">
                  <c:v>0</c:v>
                </c:pt>
                <c:pt idx="2" formatCode="General">
                  <c:v>0</c:v>
                </c:pt>
                <c:pt idx="3">
                  <c:v>610.81899999999996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3D-4135-A14C-98EE-41E4FF10E6C6}"/>
            </c:ext>
          </c:extLst>
        </c:ser>
        <c:ser>
          <c:idx val="23"/>
          <c:order val="23"/>
          <c:tx>
            <c:strRef>
              <c:f>'Fig D1-1 - NMC-Co'!$AB$26</c:f>
              <c:strCache>
                <c:ptCount val="1"/>
                <c:pt idx="0">
                  <c:v>DRC_DRC_SK</c:v>
                </c:pt>
              </c:strCache>
            </c:strRef>
          </c:tx>
          <c:spPr>
            <a:solidFill>
              <a:srgbClr val="028573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3E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0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NMC-Co'!$AC$26:$AF$26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1-4135-A14C-98EE-41E4FF10E6C6}"/>
            </c:ext>
          </c:extLst>
        </c:ser>
        <c:ser>
          <c:idx val="24"/>
          <c:order val="24"/>
          <c:tx>
            <c:strRef>
              <c:f>'Fig D1-1 - NMC-Co'!$AB$27</c:f>
              <c:strCache>
                <c:ptCount val="1"/>
                <c:pt idx="0">
                  <c:v>Uncertain_DRC_SK</c:v>
                </c:pt>
              </c:strCache>
            </c:strRef>
          </c:tx>
          <c:spPr>
            <a:solidFill>
              <a:srgbClr val="666666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2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4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NMC-Co'!$AC$27:$AF$27</c:f>
              <c:numCache>
                <c:formatCode>0.00</c:formatCode>
                <c:ptCount val="4"/>
                <c:pt idx="0">
                  <c:v>912.58100000000013</c:v>
                </c:pt>
                <c:pt idx="1">
                  <c:v>0</c:v>
                </c:pt>
                <c:pt idx="2" formatCode="General">
                  <c:v>0</c:v>
                </c:pt>
                <c:pt idx="3">
                  <c:v>912.58100000000013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5-4135-A14C-98EE-41E4FF10E6C6}"/>
            </c:ext>
          </c:extLst>
        </c:ser>
        <c:ser>
          <c:idx val="25"/>
          <c:order val="25"/>
          <c:tx>
            <c:strRef>
              <c:f>'Fig D1-1 - NMC-Co'!$AB$28</c:f>
              <c:strCache>
                <c:ptCount val="1"/>
                <c:pt idx="0">
                  <c:v>Canada_Canada_SK</c:v>
                </c:pt>
              </c:strCache>
            </c:strRef>
          </c:tx>
          <c:spPr>
            <a:solidFill>
              <a:srgbClr val="8A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1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6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8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NMC-Co'!$AC$28:$AF$28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9-4135-A14C-98EE-41E4FF10E6C6}"/>
            </c:ext>
          </c:extLst>
        </c:ser>
        <c:ser>
          <c:idx val="26"/>
          <c:order val="26"/>
          <c:tx>
            <c:strRef>
              <c:f>'Fig D1-1 - NMC-Co'!$AB$29</c:f>
              <c:strCache>
                <c:ptCount val="1"/>
                <c:pt idx="0">
                  <c:v>Morocco_Morocco_SK</c:v>
                </c:pt>
              </c:strCache>
            </c:strRef>
          </c:tx>
          <c:spPr>
            <a:solidFill>
              <a:srgbClr val="C1272D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A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FFFFFF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4C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NMC-Co'!$AC$29:$AF$29</c:f>
              <c:numCache>
                <c:formatCode>0.00</c:formatCode>
                <c:ptCount val="4"/>
                <c:pt idx="0">
                  <c:v>0</c:v>
                </c:pt>
                <c:pt idx="1">
                  <c:v>0</c:v>
                </c:pt>
                <c:pt idx="2" formatCode="General">
                  <c:v>0</c:v>
                </c:pt>
                <c:pt idx="3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4D-4135-A14C-98EE-41E4FF10E6C6}"/>
            </c:ext>
          </c:extLst>
        </c:ser>
        <c:ser>
          <c:idx val="27"/>
          <c:order val="27"/>
          <c:tx>
            <c:strRef>
              <c:f>'Fig D1-1 - NMC-Co'!$AB$30</c:f>
              <c:strCache>
                <c:ptCount val="1"/>
                <c:pt idx="0">
                  <c:v>Uncertain_Uncertain_SK</c:v>
                </c:pt>
              </c:strCache>
            </c:strRef>
          </c:tx>
          <c:spPr>
            <a:solidFill>
              <a:srgbClr val="FFFFFF"/>
            </a:solidFill>
            <a:ln w="9525" cmpd="sng">
              <a:solidFill>
                <a:srgbClr val="000000">
                  <a:alpha val="0"/>
                </a:srgbClr>
              </a:solidFill>
              <a:prstDash val="solid"/>
            </a:ln>
          </c:spPr>
          <c:invertIfNegative val="1"/>
          <c:dPt>
            <c:idx val="0"/>
            <c:invertIfNegative val="1"/>
            <c:bubble3D val="0"/>
            <c:extLst>
              <c:ext xmlns:c16="http://schemas.microsoft.com/office/drawing/2014/chart" uri="{C3380CC4-5D6E-409C-BE32-E72D297353CC}">
                <c16:uniqueId val="{0000004E-4135-A14C-98EE-41E4FF10E6C6}"/>
              </c:ext>
            </c:extLst>
          </c:dPt>
          <c:dPt>
            <c:idx val="3"/>
            <c:invertIfNegative val="1"/>
            <c:bubble3D val="0"/>
            <c:spPr>
              <a:solidFill>
                <a:srgbClr val="CC0100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50-4135-A14C-98EE-41E4FF10E6C6}"/>
              </c:ext>
            </c:extLst>
          </c:dPt>
          <c:cat>
            <c:strRef>
              <c:f>'Fig D1-1 - NMC-Co'!$AC$2:$AF$2</c:f>
              <c:strCache>
                <c:ptCount val="4"/>
                <c:pt idx="0">
                  <c:v>Mining</c:v>
                </c:pt>
                <c:pt idx="1">
                  <c:v>Refining</c:v>
                </c:pt>
                <c:pt idx="2">
                  <c:v>Cathode</c:v>
                </c:pt>
                <c:pt idx="3">
                  <c:v>Total</c:v>
                </c:pt>
              </c:strCache>
            </c:strRef>
          </c:cat>
          <c:val>
            <c:numRef>
              <c:f>'Fig D1-1 - NMC-Co'!$AC$30:$AF$30</c:f>
              <c:numCache>
                <c:formatCode>0.00</c:formatCode>
                <c:ptCount val="4"/>
                <c:pt idx="0">
                  <c:v>1859.7953509999998</c:v>
                </c:pt>
                <c:pt idx="1">
                  <c:v>0</c:v>
                </c:pt>
                <c:pt idx="2" formatCode="General">
                  <c:v>0</c:v>
                </c:pt>
                <c:pt idx="3">
                  <c:v>1859.7953509999998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w="9525" cmpd="sng">
                    <a:solidFill>
                      <a:srgbClr val="000000">
                        <a:alpha val="0"/>
                      </a:srgbClr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51-4135-A14C-98EE-41E4FF10E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91600008"/>
        <c:axId val="1733180561"/>
      </c:barChart>
      <c:catAx>
        <c:axId val="6916000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NMC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33180561"/>
        <c:crosses val="autoZero"/>
        <c:auto val="1"/>
        <c:lblAlgn val="ctr"/>
        <c:lblOffset val="100"/>
        <c:noMultiLvlLbl val="1"/>
      </c:catAx>
      <c:valAx>
        <c:axId val="1733180561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91600008"/>
        <c:crosses val="autoZero"/>
        <c:crossBetween val="between"/>
        <c:majorUnit val="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571595</xdr:colOff>
      <xdr:row>1</xdr:row>
      <xdr:rowOff>104775</xdr:rowOff>
    </xdr:from>
    <xdr:ext cx="3609975" cy="3705225"/>
    <xdr:pic>
      <xdr:nvPicPr>
        <xdr:cNvPr id="1228999767" name="Chart1" title="Chart">
          <a:extLst>
            <a:ext uri="{FF2B5EF4-FFF2-40B4-BE49-F238E27FC236}">
              <a16:creationId xmlns:a16="http://schemas.microsoft.com/office/drawing/2014/main" id="{00000000-0008-0000-0000-0000570C4149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338610" y="294327"/>
          <a:ext cx="3609975" cy="3705225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590550</xdr:colOff>
      <xdr:row>21</xdr:row>
      <xdr:rowOff>57150</xdr:rowOff>
    </xdr:from>
    <xdr:ext cx="3609975" cy="3705225"/>
    <xdr:pic>
      <xdr:nvPicPr>
        <xdr:cNvPr id="214514473" name="Chart2" title="Chart">
          <a:extLst>
            <a:ext uri="{FF2B5EF4-FFF2-40B4-BE49-F238E27FC236}">
              <a16:creationId xmlns:a16="http://schemas.microsoft.com/office/drawing/2014/main" id="{00000000-0008-0000-0000-0000293BC90C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590550</xdr:colOff>
      <xdr:row>41</xdr:row>
      <xdr:rowOff>9525</xdr:rowOff>
    </xdr:from>
    <xdr:ext cx="2590800" cy="3705225"/>
    <xdr:pic>
      <xdr:nvPicPr>
        <xdr:cNvPr id="1070730183" name="Chart3" title="Chart">
          <a:extLst>
            <a:ext uri="{FF2B5EF4-FFF2-40B4-BE49-F238E27FC236}">
              <a16:creationId xmlns:a16="http://schemas.microsoft.com/office/drawing/2014/main" id="{00000000-0008-0000-0000-0000C70BD23F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590550</xdr:colOff>
      <xdr:row>60</xdr:row>
      <xdr:rowOff>85725</xdr:rowOff>
    </xdr:from>
    <xdr:ext cx="1762125" cy="3705225"/>
    <xdr:pic>
      <xdr:nvPicPr>
        <xdr:cNvPr id="1520794159" name="Chart4" title="Chart">
          <a:extLst>
            <a:ext uri="{FF2B5EF4-FFF2-40B4-BE49-F238E27FC236}">
              <a16:creationId xmlns:a16="http://schemas.microsoft.com/office/drawing/2014/main" id="{00000000-0008-0000-0000-00002F7AA55A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704850</xdr:colOff>
      <xdr:row>60</xdr:row>
      <xdr:rowOff>85725</xdr:rowOff>
    </xdr:from>
    <xdr:ext cx="1762125" cy="3705225"/>
    <xdr:pic>
      <xdr:nvPicPr>
        <xdr:cNvPr id="1219420132" name="Chart5" title="Chart">
          <a:extLst>
            <a:ext uri="{FF2B5EF4-FFF2-40B4-BE49-F238E27FC236}">
              <a16:creationId xmlns:a16="http://schemas.microsoft.com/office/drawing/2014/main" id="{00000000-0008-0000-0000-0000E4DFAE48}"/>
            </a:ext>
            <a:ext uri="GoogleSheetsCustomDataVersion1">
              <go:sheetsCustomData xmlns:go="http://customooxmlschemas.google.com/" xmlns:sle15="http://schemas.microsoft.com/office/drawing/2012/slicer" xmlns:x3Unk="http://schemas.microsoft.com/office/drawing/2010/slicer" xmlns:dgm="http://schemas.openxmlformats.org/drawingml/2006/diagram" xmlns:mc="http://schemas.openxmlformats.org/markup-compatibility/2006" xmlns:cx1="http://schemas.microsoft.com/office/drawing/2015/9/8/chartex" xmlns:cx="http://schemas.microsoft.com/office/drawing/2014/chartex" xmlns:c="http://schemas.openxmlformats.org/drawingml/2006/chart" xmlns:r="http://schemas.openxmlformats.org/officeDocument/2006/relationships" xmlns="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0</xdr:row>
      <xdr:rowOff>114300</xdr:rowOff>
    </xdr:from>
    <xdr:ext cx="3355975" cy="3048000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257175</xdr:colOff>
      <xdr:row>2</xdr:row>
      <xdr:rowOff>0</xdr:rowOff>
    </xdr:from>
    <xdr:ext cx="3438525" cy="340995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23</xdr:col>
      <xdr:colOff>276225</xdr:colOff>
      <xdr:row>1</xdr:row>
      <xdr:rowOff>95250</xdr:rowOff>
    </xdr:from>
    <xdr:ext cx="3438525" cy="3409950"/>
    <xdr:graphicFrame macro="">
      <xdr:nvGraphicFramePr>
        <xdr:cNvPr id="8" name="Chart 8" title="Chart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32</xdr:col>
      <xdr:colOff>247650</xdr:colOff>
      <xdr:row>1</xdr:row>
      <xdr:rowOff>95250</xdr:rowOff>
    </xdr:from>
    <xdr:ext cx="3562350" cy="3409950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123825</xdr:colOff>
      <xdr:row>0</xdr:row>
      <xdr:rowOff>0</xdr:rowOff>
    </xdr:from>
    <xdr:ext cx="3438525" cy="3409950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257175</xdr:colOff>
      <xdr:row>3</xdr:row>
      <xdr:rowOff>0</xdr:rowOff>
    </xdr:from>
    <xdr:ext cx="3438525" cy="3409950"/>
    <xdr:graphicFrame macro="">
      <xdr:nvGraphicFramePr>
        <xdr:cNvPr id="11" name="Chart 11" title="Chart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23</xdr:col>
      <xdr:colOff>247650</xdr:colOff>
      <xdr:row>2</xdr:row>
      <xdr:rowOff>95250</xdr:rowOff>
    </xdr:from>
    <xdr:ext cx="3562350" cy="3409950"/>
    <xdr:graphicFrame macro="">
      <xdr:nvGraphicFramePr>
        <xdr:cNvPr id="12" name="Chart 12" title="Chart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257175</xdr:colOff>
      <xdr:row>2</xdr:row>
      <xdr:rowOff>0</xdr:rowOff>
    </xdr:from>
    <xdr:ext cx="3438525" cy="3409950"/>
    <xdr:graphicFrame macro="">
      <xdr:nvGraphicFramePr>
        <xdr:cNvPr id="13" name="Chart 13" title="Chart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223631</xdr:colOff>
      <xdr:row>20</xdr:row>
      <xdr:rowOff>88856</xdr:rowOff>
    </xdr:from>
    <xdr:ext cx="4907905" cy="4864145"/>
    <xdr:graphicFrame macro="">
      <xdr:nvGraphicFramePr>
        <xdr:cNvPr id="14" name="Chart 14" title="Chart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23</xdr:col>
      <xdr:colOff>257175</xdr:colOff>
      <xdr:row>1</xdr:row>
      <xdr:rowOff>0</xdr:rowOff>
    </xdr:from>
    <xdr:ext cx="3438525" cy="3409950"/>
    <xdr:graphicFrame macro="">
      <xdr:nvGraphicFramePr>
        <xdr:cNvPr id="15" name="Chart 15" title="Chart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32</xdr:col>
      <xdr:colOff>257175</xdr:colOff>
      <xdr:row>1</xdr:row>
      <xdr:rowOff>0</xdr:rowOff>
    </xdr:from>
    <xdr:ext cx="3438525" cy="3409950"/>
    <xdr:graphicFrame macro="">
      <xdr:nvGraphicFramePr>
        <xdr:cNvPr id="16" name="Chart 16" title="Chart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114300</xdr:colOff>
      <xdr:row>1</xdr:row>
      <xdr:rowOff>95250</xdr:rowOff>
    </xdr:from>
    <xdr:ext cx="3438525" cy="3409950"/>
    <xdr:graphicFrame macro="">
      <xdr:nvGraphicFramePr>
        <xdr:cNvPr id="17" name="Chart 17" title="Chart">
          <a:extLst>
            <a:ext uri="{FF2B5EF4-FFF2-40B4-BE49-F238E27FC236}">
              <a16:creationId xmlns:a16="http://schemas.microsoft.com/office/drawing/2014/main" id="{00000000-0008-0000-04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23</xdr:col>
      <xdr:colOff>247650</xdr:colOff>
      <xdr:row>1</xdr:row>
      <xdr:rowOff>95250</xdr:rowOff>
    </xdr:from>
    <xdr:ext cx="3562350" cy="3409950"/>
    <xdr:graphicFrame macro="">
      <xdr:nvGraphicFramePr>
        <xdr:cNvPr id="18" name="Chart 18" title="Chart">
          <a:extLst>
            <a:ext uri="{FF2B5EF4-FFF2-40B4-BE49-F238E27FC236}">
              <a16:creationId xmlns:a16="http://schemas.microsoft.com/office/drawing/2014/main" id="{00000000-0008-0000-0400-00001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5</xdr:col>
      <xdr:colOff>190500</xdr:colOff>
      <xdr:row>0</xdr:row>
      <xdr:rowOff>76200</xdr:rowOff>
    </xdr:from>
    <xdr:ext cx="3438525" cy="3409950"/>
    <xdr:graphicFrame macro="">
      <xdr:nvGraphicFramePr>
        <xdr:cNvPr id="19" name="Chart 19" title="Chart">
          <a:extLst>
            <a:ext uri="{FF2B5EF4-FFF2-40B4-BE49-F238E27FC236}">
              <a16:creationId xmlns:a16="http://schemas.microsoft.com/office/drawing/2014/main" id="{00000000-0008-0000-0400-00001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32</xdr:col>
      <xdr:colOff>104775</xdr:colOff>
      <xdr:row>1</xdr:row>
      <xdr:rowOff>95250</xdr:rowOff>
    </xdr:from>
    <xdr:ext cx="3562350" cy="3409950"/>
    <xdr:graphicFrame macro="">
      <xdr:nvGraphicFramePr>
        <xdr:cNvPr id="20" name="Chart 20" title="Chart">
          <a:extLst>
            <a:ext uri="{FF2B5EF4-FFF2-40B4-BE49-F238E27FC236}">
              <a16:creationId xmlns:a16="http://schemas.microsoft.com/office/drawing/2014/main" id="{00000000-0008-0000-04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76200</xdr:colOff>
      <xdr:row>0</xdr:row>
      <xdr:rowOff>0</xdr:rowOff>
    </xdr:from>
    <xdr:ext cx="3438525" cy="3162300"/>
    <xdr:graphicFrame macro="">
      <xdr:nvGraphicFramePr>
        <xdr:cNvPr id="21" name="Chart 21" title="Chart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14</xdr:col>
      <xdr:colOff>123825</xdr:colOff>
      <xdr:row>0</xdr:row>
      <xdr:rowOff>66675</xdr:rowOff>
    </xdr:from>
    <xdr:ext cx="3438525" cy="3409950"/>
    <xdr:graphicFrame macro="">
      <xdr:nvGraphicFramePr>
        <xdr:cNvPr id="22" name="Chart 22" title="Chart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23</xdr:col>
      <xdr:colOff>123825</xdr:colOff>
      <xdr:row>0</xdr:row>
      <xdr:rowOff>66675</xdr:rowOff>
    </xdr:from>
    <xdr:ext cx="3438525" cy="3409950"/>
    <xdr:graphicFrame macro="">
      <xdr:nvGraphicFramePr>
        <xdr:cNvPr id="23" name="Chart 23" title="Chart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32</xdr:col>
      <xdr:colOff>123825</xdr:colOff>
      <xdr:row>1</xdr:row>
      <xdr:rowOff>66675</xdr:rowOff>
    </xdr:from>
    <xdr:ext cx="3438525" cy="3409950"/>
    <xdr:graphicFrame macro="">
      <xdr:nvGraphicFramePr>
        <xdr:cNvPr id="24" name="Chart 24" title="Chart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957"/>
  <sheetViews>
    <sheetView topLeftCell="A66" zoomScale="134" workbookViewId="0">
      <selection activeCell="O13" sqref="O13"/>
    </sheetView>
  </sheetViews>
  <sheetFormatPr baseColWidth="10" defaultColWidth="12.6640625" defaultRowHeight="15.75" customHeight="1" x14ac:dyDescent="0.15"/>
  <sheetData>
    <row r="1" spans="1:27" ht="15.75" customHeight="1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5.75" customHeight="1" x14ac:dyDescent="0.1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1:27" ht="15.75" customHeight="1" x14ac:dyDescent="0.15">
      <c r="A3" s="1"/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1:27" ht="15.75" customHeight="1" x14ac:dyDescent="0.15">
      <c r="A4" s="1"/>
      <c r="B4" s="1"/>
      <c r="C4" s="1" t="s">
        <v>6</v>
      </c>
      <c r="D4" s="2">
        <v>0</v>
      </c>
      <c r="E4" s="2">
        <v>0</v>
      </c>
      <c r="F4" s="2">
        <v>0</v>
      </c>
      <c r="G4" s="2">
        <v>6500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1:27" ht="15.75" customHeight="1" x14ac:dyDescent="0.15">
      <c r="A5" s="1"/>
      <c r="B5" s="1"/>
      <c r="C5" s="1" t="s">
        <v>7</v>
      </c>
      <c r="D5" s="2">
        <v>0</v>
      </c>
      <c r="E5" s="2">
        <f>0.05*2510000</f>
        <v>125500</v>
      </c>
      <c r="F5" s="2">
        <v>98000</v>
      </c>
      <c r="G5" s="2">
        <v>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1:27" ht="15.75" customHeight="1" x14ac:dyDescent="0.15">
      <c r="A6" s="1"/>
      <c r="B6" s="1"/>
      <c r="C6" s="1" t="s">
        <v>8</v>
      </c>
      <c r="D6" s="2">
        <v>0</v>
      </c>
      <c r="E6" s="2">
        <v>771000</v>
      </c>
      <c r="F6" s="2">
        <v>1100</v>
      </c>
      <c r="G6" s="2">
        <v>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 spans="1:27" ht="15.75" customHeight="1" x14ac:dyDescent="0.15">
      <c r="A7" s="1"/>
      <c r="B7" s="1"/>
      <c r="C7" s="1" t="s">
        <v>9</v>
      </c>
      <c r="D7" s="2">
        <v>39700</v>
      </c>
      <c r="E7" s="2">
        <v>169000</v>
      </c>
      <c r="F7" s="2">
        <v>5630</v>
      </c>
      <c r="G7" s="2">
        <v>3330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 spans="1:27" ht="15.75" customHeight="1" x14ac:dyDescent="0.15">
      <c r="A8" s="1"/>
      <c r="B8" s="1"/>
      <c r="C8" s="1" t="s">
        <v>10</v>
      </c>
      <c r="D8" s="2">
        <v>13300</v>
      </c>
      <c r="E8" s="2">
        <v>120000</v>
      </c>
      <c r="F8" s="2">
        <v>2200</v>
      </c>
      <c r="G8" s="2">
        <v>1340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 spans="1:27" ht="15.75" customHeight="1" x14ac:dyDescent="0.15">
      <c r="A9" s="1"/>
      <c r="B9" s="1"/>
      <c r="C9" s="1" t="s">
        <v>11</v>
      </c>
      <c r="D9" s="2">
        <v>0</v>
      </c>
      <c r="E9" s="2">
        <v>283000</v>
      </c>
      <c r="F9" s="2">
        <v>9000</v>
      </c>
      <c r="G9" s="2">
        <v>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5.75" customHeight="1" x14ac:dyDescent="0.15">
      <c r="A10" s="1"/>
      <c r="B10" s="1"/>
      <c r="C10" s="1" t="s">
        <v>12</v>
      </c>
      <c r="D10" s="2">
        <v>348</v>
      </c>
      <c r="E10" s="2">
        <v>0</v>
      </c>
      <c r="F10" s="2">
        <v>0</v>
      </c>
      <c r="G10" s="2">
        <v>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5.75" customHeight="1" x14ac:dyDescent="0.15">
      <c r="A11" s="1"/>
      <c r="B11" s="1"/>
      <c r="C11" s="1" t="s">
        <v>13</v>
      </c>
      <c r="D11" s="2">
        <v>710</v>
      </c>
      <c r="E11" s="2">
        <v>16700</v>
      </c>
      <c r="F11" s="2">
        <v>600</v>
      </c>
      <c r="G11" s="2">
        <v>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5.75" customHeight="1" x14ac:dyDescent="0.15">
      <c r="A12" s="1"/>
      <c r="B12" s="1"/>
      <c r="C12" s="1" t="s">
        <v>14</v>
      </c>
      <c r="D12" s="2">
        <v>0</v>
      </c>
      <c r="E12" s="2">
        <v>0</v>
      </c>
      <c r="F12" s="2">
        <v>0</v>
      </c>
      <c r="G12" s="2">
        <v>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5.75" customHeight="1" x14ac:dyDescent="0.15">
      <c r="A13" s="1"/>
      <c r="B13" s="1"/>
      <c r="C13" s="1" t="s">
        <v>15</v>
      </c>
      <c r="D13" s="2">
        <v>0</v>
      </c>
      <c r="E13" s="2">
        <v>0</v>
      </c>
      <c r="F13" s="2">
        <v>0</v>
      </c>
      <c r="G13" s="2">
        <v>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5.75" customHeight="1" x14ac:dyDescent="0.15">
      <c r="A14" s="1"/>
      <c r="B14" s="1"/>
      <c r="C14" s="1" t="s">
        <v>16</v>
      </c>
      <c r="D14" s="2">
        <v>29237</v>
      </c>
      <c r="E14" s="2">
        <f>2510000*0.95-SUM(E4:E13)</f>
        <v>899300</v>
      </c>
      <c r="F14" s="2">
        <f>142000-SUM(F4:F13)</f>
        <v>25470</v>
      </c>
      <c r="G14" s="2">
        <f>18900-SUM(G4,G7,G8)</f>
        <v>7730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5.75" customHeight="1" x14ac:dyDescent="0.15">
      <c r="A15" s="1"/>
      <c r="B15" s="1"/>
      <c r="C15" s="1" t="s">
        <v>17</v>
      </c>
      <c r="D15" s="2">
        <f t="shared" ref="D15:G15" si="0">SUM(D3:D14)</f>
        <v>83295</v>
      </c>
      <c r="E15" s="2">
        <f t="shared" si="0"/>
        <v>2384500</v>
      </c>
      <c r="F15" s="2">
        <f t="shared" si="0"/>
        <v>142000</v>
      </c>
      <c r="G15" s="2">
        <f t="shared" si="0"/>
        <v>18900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5.75" customHeight="1" x14ac:dyDescent="0.1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5.75" customHeight="1" x14ac:dyDescent="0.1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5.75" customHeight="1" x14ac:dyDescent="0.1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5.75" customHeight="1" x14ac:dyDescent="0.1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15.75" customHeight="1" x14ac:dyDescent="0.1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5.75" customHeight="1" x14ac:dyDescent="0.1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5.75" customHeight="1" x14ac:dyDescent="0.15">
      <c r="A23" s="1"/>
      <c r="B23" s="1"/>
      <c r="C23" s="1" t="s">
        <v>18</v>
      </c>
      <c r="D23" s="1" t="s">
        <v>2</v>
      </c>
      <c r="E23" s="1" t="s">
        <v>3</v>
      </c>
      <c r="F23" s="1" t="s">
        <v>4</v>
      </c>
      <c r="G23" s="1" t="s">
        <v>19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5.75" customHeight="1" x14ac:dyDescent="0.15">
      <c r="A24" s="1"/>
      <c r="B24" s="1"/>
      <c r="C24" s="1" t="s">
        <v>10</v>
      </c>
      <c r="D24" s="2">
        <v>42480</v>
      </c>
      <c r="E24" s="2">
        <v>167000</v>
      </c>
      <c r="F24" s="2">
        <v>78360</v>
      </c>
      <c r="G24" s="2">
        <v>189850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5.75" customHeight="1" x14ac:dyDescent="0.15">
      <c r="A25" s="1"/>
      <c r="B25" s="1"/>
      <c r="C25" s="1" t="s">
        <v>6</v>
      </c>
      <c r="D25" s="2">
        <v>0</v>
      </c>
      <c r="E25" s="2">
        <v>0</v>
      </c>
      <c r="F25" s="2">
        <v>0</v>
      </c>
      <c r="G25" s="2">
        <v>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15.75" customHeight="1" x14ac:dyDescent="0.15">
      <c r="A26" s="1"/>
      <c r="B26" s="1"/>
      <c r="C26" s="1" t="s">
        <v>7</v>
      </c>
      <c r="D26" s="2">
        <v>0</v>
      </c>
      <c r="E26" s="2">
        <v>0</v>
      </c>
      <c r="F26" s="2">
        <v>400</v>
      </c>
      <c r="G26" s="2">
        <v>0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5.75" customHeight="1" x14ac:dyDescent="0.15">
      <c r="A27" s="1"/>
      <c r="B27" s="1"/>
      <c r="C27" s="1" t="s">
        <v>8</v>
      </c>
      <c r="D27" s="2">
        <v>0</v>
      </c>
      <c r="E27" s="2">
        <v>0</v>
      </c>
      <c r="F27" s="2">
        <v>0</v>
      </c>
      <c r="G27" s="2">
        <v>0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15.75" customHeight="1" x14ac:dyDescent="0.15">
      <c r="A28" s="1"/>
      <c r="B28" s="1"/>
      <c r="C28" s="1" t="s">
        <v>9</v>
      </c>
      <c r="D28" s="2">
        <v>0</v>
      </c>
      <c r="E28" s="2">
        <v>0</v>
      </c>
      <c r="F28" s="2">
        <v>0</v>
      </c>
      <c r="G28" s="2">
        <v>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5.75" customHeight="1" x14ac:dyDescent="0.15">
      <c r="A29" s="1"/>
      <c r="B29" s="1"/>
      <c r="C29" s="1" t="s">
        <v>11</v>
      </c>
      <c r="D29" s="2">
        <v>0</v>
      </c>
      <c r="E29" s="2">
        <v>0</v>
      </c>
      <c r="F29" s="2">
        <v>0</v>
      </c>
      <c r="G29" s="2">
        <v>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5.75" customHeight="1" x14ac:dyDescent="0.15">
      <c r="A30" s="1"/>
      <c r="B30" s="1"/>
      <c r="C30" s="1" t="s">
        <v>12</v>
      </c>
      <c r="D30" s="2">
        <v>0</v>
      </c>
      <c r="E30" s="2">
        <v>25000</v>
      </c>
      <c r="F30" s="2">
        <v>22900</v>
      </c>
      <c r="G30" s="2">
        <v>0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5.75" customHeight="1" x14ac:dyDescent="0.15">
      <c r="A31" s="1"/>
      <c r="B31" s="1"/>
      <c r="C31" s="1" t="s">
        <v>13</v>
      </c>
      <c r="D31" s="2">
        <v>2345</v>
      </c>
      <c r="E31" s="2">
        <v>16700</v>
      </c>
      <c r="F31" s="2">
        <v>0</v>
      </c>
      <c r="G31" s="2">
        <v>31690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customHeight="1" x14ac:dyDescent="0.15">
      <c r="A32" s="1"/>
      <c r="B32" s="1"/>
      <c r="C32" s="1" t="s">
        <v>14</v>
      </c>
      <c r="D32" s="2">
        <v>0</v>
      </c>
      <c r="E32" s="2">
        <v>17000</v>
      </c>
      <c r="F32" s="2">
        <v>4000</v>
      </c>
      <c r="G32" s="2">
        <v>17877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5.75" customHeight="1" x14ac:dyDescent="0.15">
      <c r="A33" s="1"/>
      <c r="B33" s="1"/>
      <c r="C33" s="1" t="s">
        <v>15</v>
      </c>
      <c r="D33" s="2">
        <v>0</v>
      </c>
      <c r="E33" s="2">
        <v>12000</v>
      </c>
      <c r="F33" s="2">
        <v>0</v>
      </c>
      <c r="G33" s="2">
        <v>0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.75" customHeight="1" x14ac:dyDescent="0.15">
      <c r="A34" s="1"/>
      <c r="B34" s="1"/>
      <c r="C34" s="1" t="s">
        <v>16</v>
      </c>
      <c r="D34" s="2">
        <f>6562+20930</f>
        <v>27492</v>
      </c>
      <c r="E34" s="2">
        <v>6000</v>
      </c>
      <c r="F34" s="2">
        <v>13000</v>
      </c>
      <c r="G34" s="2">
        <f>3250+14085+542+8126</f>
        <v>26003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5.75" customHeight="1" x14ac:dyDescent="0.15">
      <c r="A35" s="1"/>
      <c r="B35" s="1"/>
      <c r="C35" s="1" t="s">
        <v>17</v>
      </c>
      <c r="D35" s="2">
        <f t="shared" ref="D35:G35" si="1">SUM(D23:D34)</f>
        <v>72317</v>
      </c>
      <c r="E35" s="2">
        <f t="shared" si="1"/>
        <v>243700</v>
      </c>
      <c r="F35" s="2">
        <f t="shared" si="1"/>
        <v>118660</v>
      </c>
      <c r="G35" s="2">
        <f t="shared" si="1"/>
        <v>265420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5.75" customHeight="1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5.75" customHeight="1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5.75" customHeight="1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5.75" customHeight="1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5.75" customHeight="1" x14ac:dyDescent="0.15">
      <c r="A43" s="1"/>
      <c r="B43" s="1"/>
      <c r="C43" s="1" t="s">
        <v>20</v>
      </c>
      <c r="D43" s="1" t="s">
        <v>21</v>
      </c>
      <c r="E43" s="1" t="s">
        <v>22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5.75" customHeight="1" x14ac:dyDescent="0.15">
      <c r="A44" s="1"/>
      <c r="B44" s="1"/>
      <c r="C44" s="1" t="s">
        <v>10</v>
      </c>
      <c r="D44" s="2">
        <v>80000</v>
      </c>
      <c r="E44" s="2">
        <v>197000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3" x14ac:dyDescent="0.15">
      <c r="A45" s="1"/>
      <c r="B45" s="1"/>
      <c r="C45" s="1" t="s">
        <v>6</v>
      </c>
      <c r="D45" s="2">
        <v>0</v>
      </c>
      <c r="E45" s="2">
        <v>0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3" x14ac:dyDescent="0.15">
      <c r="A46" s="1"/>
      <c r="B46" s="1"/>
      <c r="C46" s="1" t="s">
        <v>7</v>
      </c>
      <c r="D46" s="2">
        <v>0</v>
      </c>
      <c r="E46" s="2">
        <v>0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3" x14ac:dyDescent="0.15">
      <c r="A47" s="1"/>
      <c r="B47" s="1"/>
      <c r="C47" s="1" t="s">
        <v>8</v>
      </c>
      <c r="D47" s="2">
        <v>0</v>
      </c>
      <c r="E47" s="2">
        <v>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3" x14ac:dyDescent="0.15">
      <c r="A48" s="1"/>
      <c r="B48" s="1"/>
      <c r="C48" s="1" t="s">
        <v>9</v>
      </c>
      <c r="D48" s="2">
        <v>0</v>
      </c>
      <c r="E48" s="2">
        <v>0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3" x14ac:dyDescent="0.15">
      <c r="A49" s="1"/>
      <c r="B49" s="1"/>
      <c r="C49" s="1" t="s">
        <v>11</v>
      </c>
      <c r="D49" s="2">
        <v>0</v>
      </c>
      <c r="E49" s="2">
        <v>0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3" x14ac:dyDescent="0.15">
      <c r="A50" s="1"/>
      <c r="B50" s="1"/>
      <c r="C50" s="1" t="s">
        <v>12</v>
      </c>
      <c r="D50" s="2">
        <v>0</v>
      </c>
      <c r="E50" s="2">
        <v>0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3" x14ac:dyDescent="0.15">
      <c r="A51" s="1"/>
      <c r="B51" s="1"/>
      <c r="C51" s="1" t="s">
        <v>13</v>
      </c>
      <c r="D51" s="2">
        <v>4000</v>
      </c>
      <c r="E51" s="2">
        <v>0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3" x14ac:dyDescent="0.15">
      <c r="A52" s="1"/>
      <c r="B52" s="1"/>
      <c r="C52" s="1" t="s">
        <v>14</v>
      </c>
      <c r="D52" s="2">
        <v>0</v>
      </c>
      <c r="E52" s="2">
        <v>56481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3" x14ac:dyDescent="0.15">
      <c r="A53" s="1"/>
      <c r="B53" s="1"/>
      <c r="C53" s="1" t="s">
        <v>15</v>
      </c>
      <c r="D53" s="2">
        <v>0</v>
      </c>
      <c r="E53" s="2">
        <v>94135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3" x14ac:dyDescent="0.15">
      <c r="A54" s="1"/>
      <c r="B54" s="1"/>
      <c r="C54" s="1" t="s">
        <v>16</v>
      </c>
      <c r="D54" s="2">
        <v>5000</v>
      </c>
      <c r="E54" s="2">
        <v>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3" x14ac:dyDescent="0.15">
      <c r="A55" s="1"/>
      <c r="B55" s="1"/>
      <c r="C55" s="1" t="s">
        <v>17</v>
      </c>
      <c r="D55" s="2">
        <f t="shared" ref="D55:E55" si="2">SUM(D43:D54)</f>
        <v>89000</v>
      </c>
      <c r="E55" s="2">
        <f t="shared" si="2"/>
        <v>347616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3" x14ac:dyDescent="0.15">
      <c r="A58" s="1"/>
      <c r="B58" s="1"/>
      <c r="C58" s="1" t="s">
        <v>23</v>
      </c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3" x14ac:dyDescent="0.15">
      <c r="A59" s="1"/>
      <c r="B59" s="1"/>
      <c r="C59" s="1" t="s">
        <v>10</v>
      </c>
      <c r="D59" s="2">
        <f t="shared" ref="D59:D64" si="3">F59-F60</f>
        <v>362</v>
      </c>
      <c r="E59" s="1"/>
      <c r="F59" s="2">
        <v>872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3" x14ac:dyDescent="0.15">
      <c r="A60" s="1"/>
      <c r="B60" s="1"/>
      <c r="C60" s="1" t="s">
        <v>12</v>
      </c>
      <c r="D60" s="2">
        <f t="shared" si="3"/>
        <v>34</v>
      </c>
      <c r="E60" s="1"/>
      <c r="F60" s="2">
        <v>510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3" x14ac:dyDescent="0.15">
      <c r="A61" s="1"/>
      <c r="B61" s="1"/>
      <c r="C61" s="1" t="s">
        <v>13</v>
      </c>
      <c r="D61" s="2">
        <f t="shared" si="3"/>
        <v>29</v>
      </c>
      <c r="E61" s="1"/>
      <c r="F61" s="2">
        <v>476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3" x14ac:dyDescent="0.15">
      <c r="A62" s="1"/>
      <c r="B62" s="1"/>
      <c r="C62" s="1" t="s">
        <v>14</v>
      </c>
      <c r="D62" s="2">
        <f t="shared" si="3"/>
        <v>19</v>
      </c>
      <c r="E62" s="1"/>
      <c r="F62" s="2">
        <v>447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3" x14ac:dyDescent="0.15">
      <c r="A63" s="1"/>
      <c r="B63" s="1"/>
      <c r="C63" s="1" t="s">
        <v>15</v>
      </c>
      <c r="D63" s="2">
        <f t="shared" si="3"/>
        <v>24</v>
      </c>
      <c r="E63" s="1"/>
      <c r="F63" s="2">
        <v>428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3" x14ac:dyDescent="0.15">
      <c r="A64" s="1"/>
      <c r="B64" s="1"/>
      <c r="C64" s="1" t="s">
        <v>16</v>
      </c>
      <c r="D64" s="2">
        <f t="shared" si="3"/>
        <v>4</v>
      </c>
      <c r="E64" s="1"/>
      <c r="F64" s="2">
        <v>404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3" x14ac:dyDescent="0.15">
      <c r="A65" s="1"/>
      <c r="B65" s="1"/>
      <c r="C65" s="1"/>
      <c r="D65" s="1"/>
      <c r="E65" s="1"/>
      <c r="F65" s="2">
        <v>400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3" x14ac:dyDescent="0.15">
      <c r="A66" s="1"/>
      <c r="B66" s="1"/>
      <c r="C66" s="1" t="s">
        <v>24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3" x14ac:dyDescent="0.15">
      <c r="A67" s="1"/>
      <c r="B67" s="1"/>
      <c r="C67" s="1" t="s">
        <v>10</v>
      </c>
      <c r="D67" s="2">
        <f t="shared" ref="D67:D72" si="4">F67-F68</f>
        <v>256</v>
      </c>
      <c r="E67" s="1"/>
      <c r="F67" s="2">
        <v>872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3" x14ac:dyDescent="0.15">
      <c r="A68" s="1"/>
      <c r="B68" s="1"/>
      <c r="C68" s="1" t="s">
        <v>12</v>
      </c>
      <c r="D68" s="2">
        <f t="shared" si="4"/>
        <v>130</v>
      </c>
      <c r="E68" s="1"/>
      <c r="F68" s="2">
        <v>616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3" x14ac:dyDescent="0.15">
      <c r="A69" s="1"/>
      <c r="B69" s="1"/>
      <c r="C69" s="1" t="s">
        <v>13</v>
      </c>
      <c r="D69" s="2">
        <f t="shared" si="4"/>
        <v>47</v>
      </c>
      <c r="E69" s="1"/>
      <c r="F69" s="2">
        <v>486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3" x14ac:dyDescent="0.15">
      <c r="A70" s="1"/>
      <c r="B70" s="1"/>
      <c r="C70" s="1" t="s">
        <v>14</v>
      </c>
      <c r="D70" s="2">
        <f t="shared" si="4"/>
        <v>13</v>
      </c>
      <c r="E70" s="1"/>
      <c r="F70" s="2">
        <v>439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3" x14ac:dyDescent="0.15">
      <c r="A71" s="1"/>
      <c r="B71" s="1"/>
      <c r="C71" s="1" t="s">
        <v>15</v>
      </c>
      <c r="D71" s="2">
        <f t="shared" si="4"/>
        <v>20</v>
      </c>
      <c r="E71" s="1"/>
      <c r="F71" s="2">
        <v>426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3" x14ac:dyDescent="0.15">
      <c r="A72" s="1"/>
      <c r="B72" s="1"/>
      <c r="C72" s="1" t="s">
        <v>16</v>
      </c>
      <c r="D72" s="2">
        <f t="shared" si="4"/>
        <v>6</v>
      </c>
      <c r="E72" s="1"/>
      <c r="F72" s="2">
        <v>406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3" x14ac:dyDescent="0.15">
      <c r="A73" s="1"/>
      <c r="B73" s="1"/>
      <c r="C73" s="1"/>
      <c r="D73" s="1"/>
      <c r="E73" s="1"/>
      <c r="F73" s="2">
        <v>400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spans="1:27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spans="1:27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spans="1:27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spans="1:27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spans="1:27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spans="1:27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spans="1:27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spans="1:27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spans="1:27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spans="1:27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spans="1:27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spans="1:27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spans="1:27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spans="1:27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spans="1:27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spans="1:27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spans="1:27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spans="1:27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spans="1:27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spans="1:27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spans="1:27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spans="1:27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spans="1:27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spans="1:27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spans="1:27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spans="1:27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spans="1:27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spans="1:27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spans="1:27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spans="1:27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spans="1:27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spans="1:27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spans="1:27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spans="1:27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spans="1:27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spans="1:27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spans="1:27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spans="1:27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spans="1:27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spans="1:27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spans="1:27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spans="1:27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spans="1:27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spans="1:27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spans="1:27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spans="1:27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spans="1:27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spans="1:27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spans="1:27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spans="1:27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spans="1:27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spans="1:27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spans="1:27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spans="1:27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spans="1:27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spans="1:27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spans="1:27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spans="1:27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spans="1:27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spans="1:27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spans="1:27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 spans="1:27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 spans="1:27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 spans="1:27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 spans="1:27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 spans="1:27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 spans="1:27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 spans="1:27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 spans="1:27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 spans="1:27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 spans="1:27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 spans="1:27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 spans="1:27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 spans="1:27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 spans="1:27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 spans="1:27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 spans="1:27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 spans="1:27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 spans="1:27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 spans="1:27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 spans="1:27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 spans="1:27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 spans="1:27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 spans="1:27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 spans="1:27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 spans="1:27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 spans="1:27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 spans="1:27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 spans="1:27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 spans="1:27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 spans="1:27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 spans="1:27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 spans="1:27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 spans="1:27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 spans="1:27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 spans="1:27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 spans="1:27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 spans="1:27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 spans="1:27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 spans="1:27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 spans="1:27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 spans="1:27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 spans="1:27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 spans="1:27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 spans="1:27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 spans="1:27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 spans="1:27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 spans="1:27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 spans="1:27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 spans="1:27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 spans="1:27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 spans="1:27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 spans="1:27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 spans="1:27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 spans="1:27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 spans="1:27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 spans="1:27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 spans="1:27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 spans="1:27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 spans="1:27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 spans="1:27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 spans="1:27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 spans="1:27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 spans="1:27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 spans="1:27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 spans="1:27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 spans="1:27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 spans="1:27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 spans="1:27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 spans="1:27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 spans="1:27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 spans="1:27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 spans="1:27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 spans="1:27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 spans="1:27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 spans="1:27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 spans="1:27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 spans="1:27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 spans="1:27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 spans="1:27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 spans="1:27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 spans="1:27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 spans="1:27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 spans="1:27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 spans="1:27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 spans="1:27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 spans="1:27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 spans="1:27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 spans="1:27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 spans="1:27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 spans="1:27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 spans="1:27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 spans="1:27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 spans="1:27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 spans="1:27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 spans="1:27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 spans="1:27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 spans="1:27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 spans="1:27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 spans="1:27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 spans="1:27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 spans="1:27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 spans="1:27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 spans="1:27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 spans="1:27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 spans="1:27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 spans="1:27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 spans="1:27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 spans="1:27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 spans="1:27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 spans="1:27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 spans="1:27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 spans="1:27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 spans="1:27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 spans="1:27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 spans="1:27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 spans="1:27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 spans="1:27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 spans="1:27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 spans="1:27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 spans="1:27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 spans="1:27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 spans="1:27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 spans="1:27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 spans="1:27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 spans="1:27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 spans="1:27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 spans="1:27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 spans="1:27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 spans="1:27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 spans="1:27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 spans="1:27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 spans="1:27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 spans="1:27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 spans="1:27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 spans="1:27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 spans="1:27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 spans="1:27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 spans="1:27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 spans="1:27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 spans="1:27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 spans="1:27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 spans="1:27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 spans="1:27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 spans="1:27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 spans="1:27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 spans="1:27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 spans="1:27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 spans="1:27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 spans="1:27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 spans="1:27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 spans="1:27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 spans="1:27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 spans="1:27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 spans="1:27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 spans="1:27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 spans="1:27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 spans="1:27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 spans="1:27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 spans="1:27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 spans="1:27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 spans="1:27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 spans="1:27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 spans="1:27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 spans="1:27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 spans="1:27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 spans="1:27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 spans="1:27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 spans="1:27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 spans="1:27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 spans="1:27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 spans="1:27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 spans="1:27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 spans="1:27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 spans="1:27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 spans="1:27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 spans="1:27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 spans="1:27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 spans="1:27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 spans="1:27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 spans="1:27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 spans="1:27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 spans="1:27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 spans="1:27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 spans="1:27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 spans="1:27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 spans="1:27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 spans="1:27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 spans="1:27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 spans="1:27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 spans="1:27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 spans="1:27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 spans="1:27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 spans="1:27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 spans="1:27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 spans="1:27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 spans="1:27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 spans="1:27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 spans="1:27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 spans="1:27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 spans="1:27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 spans="1:27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 spans="1:27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 spans="1:27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 spans="1:27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 spans="1:27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 spans="1:27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 spans="1:27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964"/>
  <sheetViews>
    <sheetView zoomScale="165" workbookViewId="0">
      <selection activeCell="B48" sqref="B48"/>
    </sheetView>
  </sheetViews>
  <sheetFormatPr baseColWidth="10" defaultColWidth="12.6640625" defaultRowHeight="15.75" customHeight="1" x14ac:dyDescent="0.15"/>
  <cols>
    <col min="1" max="1" width="22.6640625" customWidth="1"/>
    <col min="2" max="2" width="12.5" customWidth="1"/>
    <col min="3" max="3" width="11.5" customWidth="1"/>
    <col min="4" max="4" width="13.1640625" customWidth="1"/>
    <col min="5" max="5" width="16" customWidth="1"/>
    <col min="6" max="9" width="12.6640625" customWidth="1"/>
    <col min="10" max="10" width="22.6640625" customWidth="1"/>
    <col min="11" max="12" width="7.1640625" customWidth="1"/>
    <col min="13" max="14" width="7" customWidth="1"/>
    <col min="19" max="19" width="22.6640625" customWidth="1"/>
    <col min="28" max="28" width="22.6640625" customWidth="1"/>
  </cols>
  <sheetData>
    <row r="1" spans="1:32" ht="15.75" customHeight="1" x14ac:dyDescent="0.25">
      <c r="A1" s="3" t="s">
        <v>25</v>
      </c>
      <c r="J1" s="3" t="s">
        <v>26</v>
      </c>
      <c r="L1" s="4"/>
      <c r="M1" s="4"/>
      <c r="N1" s="4"/>
      <c r="S1" s="3" t="s">
        <v>27</v>
      </c>
      <c r="U1" s="4"/>
      <c r="V1" s="4"/>
      <c r="W1" s="4"/>
      <c r="AB1" s="3" t="s">
        <v>28</v>
      </c>
      <c r="AD1" s="4"/>
      <c r="AE1" s="4"/>
      <c r="AF1" s="4"/>
    </row>
    <row r="2" spans="1:32" ht="15.75" customHeight="1" x14ac:dyDescent="0.25">
      <c r="A2" s="3" t="s">
        <v>29</v>
      </c>
      <c r="J2" s="3" t="s">
        <v>30</v>
      </c>
      <c r="L2" s="4"/>
      <c r="M2" s="4"/>
      <c r="N2" s="4"/>
      <c r="S2" s="3" t="s">
        <v>31</v>
      </c>
      <c r="U2" s="4"/>
      <c r="V2" s="4"/>
      <c r="W2" s="4"/>
      <c r="AB2" s="3" t="s">
        <v>32</v>
      </c>
      <c r="AD2" s="4"/>
      <c r="AE2" s="4"/>
      <c r="AF2" s="4"/>
    </row>
    <row r="3" spans="1:32" ht="15.75" customHeight="1" x14ac:dyDescent="0.15">
      <c r="B3" s="5" t="s">
        <v>33</v>
      </c>
      <c r="C3" s="5" t="s">
        <v>34</v>
      </c>
      <c r="D3" s="5" t="s">
        <v>35</v>
      </c>
      <c r="E3" s="5" t="s">
        <v>17</v>
      </c>
      <c r="K3" s="5" t="s">
        <v>33</v>
      </c>
      <c r="L3" s="5" t="s">
        <v>34</v>
      </c>
      <c r="M3" s="5" t="s">
        <v>35</v>
      </c>
      <c r="N3" s="5" t="s">
        <v>17</v>
      </c>
      <c r="P3" s="6"/>
      <c r="T3" s="5" t="s">
        <v>33</v>
      </c>
      <c r="U3" s="5" t="s">
        <v>34</v>
      </c>
      <c r="V3" s="5" t="s">
        <v>35</v>
      </c>
      <c r="W3" s="5" t="s">
        <v>17</v>
      </c>
      <c r="AC3" s="5" t="s">
        <v>33</v>
      </c>
      <c r="AD3" s="5" t="s">
        <v>34</v>
      </c>
      <c r="AE3" s="5" t="s">
        <v>35</v>
      </c>
      <c r="AF3" s="5" t="s">
        <v>17</v>
      </c>
    </row>
    <row r="4" spans="1:32" ht="15.75" customHeight="1" x14ac:dyDescent="0.15">
      <c r="A4" s="5" t="s">
        <v>10</v>
      </c>
      <c r="B4" s="4">
        <v>0</v>
      </c>
      <c r="C4" s="4">
        <v>0</v>
      </c>
      <c r="D4" s="4">
        <f>SUM(C7:C9)</f>
        <v>3520</v>
      </c>
      <c r="E4" s="5">
        <v>0</v>
      </c>
      <c r="J4" s="5" t="s">
        <v>10</v>
      </c>
      <c r="K4" s="4">
        <v>0</v>
      </c>
      <c r="L4" s="4">
        <v>0</v>
      </c>
      <c r="M4" s="5">
        <v>3520</v>
      </c>
      <c r="N4" s="4">
        <f t="shared" ref="N4:N19" si="0">K4</f>
        <v>0</v>
      </c>
      <c r="P4" s="6"/>
      <c r="S4" s="5" t="s">
        <v>10</v>
      </c>
      <c r="T4" s="4">
        <v>0</v>
      </c>
      <c r="U4" s="4">
        <v>0</v>
      </c>
      <c r="V4" s="5">
        <v>3520</v>
      </c>
      <c r="W4" s="4">
        <f t="shared" ref="W4:W16" si="1">T4</f>
        <v>0</v>
      </c>
      <c r="Y4" s="6"/>
      <c r="AB4" s="5" t="s">
        <v>10</v>
      </c>
      <c r="AC4" s="4">
        <v>0</v>
      </c>
      <c r="AD4" s="4">
        <v>0</v>
      </c>
      <c r="AE4" s="5">
        <v>3520</v>
      </c>
      <c r="AF4" s="4">
        <f t="shared" ref="AF4:AF16" si="2">AC4</f>
        <v>0</v>
      </c>
    </row>
    <row r="5" spans="1:32" ht="15.75" customHeight="1" x14ac:dyDescent="0.15">
      <c r="A5" s="5" t="s">
        <v>36</v>
      </c>
      <c r="B5" s="4">
        <v>0</v>
      </c>
      <c r="C5" s="4">
        <v>0</v>
      </c>
      <c r="D5" s="4">
        <f>SUM(C10:C13)</f>
        <v>176</v>
      </c>
      <c r="E5" s="5">
        <v>0</v>
      </c>
      <c r="J5" s="5" t="s">
        <v>36</v>
      </c>
      <c r="K5" s="4">
        <v>0</v>
      </c>
      <c r="L5" s="4">
        <v>0</v>
      </c>
      <c r="M5" s="4">
        <f>SUM(L8:L9)</f>
        <v>176</v>
      </c>
      <c r="N5" s="4">
        <f t="shared" si="0"/>
        <v>0</v>
      </c>
      <c r="P5" s="6"/>
      <c r="S5" s="5" t="s">
        <v>36</v>
      </c>
      <c r="T5" s="4">
        <v>0</v>
      </c>
      <c r="U5" s="4">
        <v>0</v>
      </c>
      <c r="V5" s="4">
        <f>SUM(U8:U9)</f>
        <v>176</v>
      </c>
      <c r="W5" s="4">
        <f t="shared" si="1"/>
        <v>0</v>
      </c>
      <c r="Y5" s="6"/>
      <c r="AB5" s="5" t="s">
        <v>36</v>
      </c>
      <c r="AC5" s="4">
        <v>0</v>
      </c>
      <c r="AD5" s="4">
        <v>0</v>
      </c>
      <c r="AE5" s="4">
        <f>SUM(AD8:AD9)</f>
        <v>176</v>
      </c>
      <c r="AF5" s="4">
        <f t="shared" si="2"/>
        <v>0</v>
      </c>
    </row>
    <row r="6" spans="1:32" ht="15.75" customHeight="1" x14ac:dyDescent="0.15">
      <c r="A6" s="5" t="s">
        <v>37</v>
      </c>
      <c r="B6" s="4">
        <v>0</v>
      </c>
      <c r="C6" s="4">
        <v>0</v>
      </c>
      <c r="D6" s="4">
        <f>SUM(C14:C17)</f>
        <v>219.99999999999997</v>
      </c>
      <c r="E6" s="5">
        <v>0</v>
      </c>
      <c r="J6" s="5" t="s">
        <v>37</v>
      </c>
      <c r="K6" s="4">
        <v>0</v>
      </c>
      <c r="L6" s="4">
        <v>0</v>
      </c>
      <c r="M6" s="4">
        <f>SUM(L10:L12)</f>
        <v>220</v>
      </c>
      <c r="N6" s="4">
        <f t="shared" si="0"/>
        <v>0</v>
      </c>
      <c r="P6" s="6"/>
      <c r="S6" s="5" t="s">
        <v>37</v>
      </c>
      <c r="T6" s="4">
        <v>0</v>
      </c>
      <c r="U6" s="4">
        <v>0</v>
      </c>
      <c r="V6" s="4">
        <f>SUM(U10:U11)</f>
        <v>220</v>
      </c>
      <c r="W6" s="4">
        <f t="shared" si="1"/>
        <v>0</v>
      </c>
      <c r="Y6" s="6"/>
      <c r="AB6" s="5" t="s">
        <v>37</v>
      </c>
      <c r="AC6" s="4">
        <v>0</v>
      </c>
      <c r="AD6" s="4">
        <v>0</v>
      </c>
      <c r="AE6" s="4">
        <f>SUM(AD10:AD11)</f>
        <v>220</v>
      </c>
      <c r="AF6" s="4">
        <f t="shared" si="2"/>
        <v>0</v>
      </c>
    </row>
    <row r="7" spans="1:32" ht="15.75" customHeight="1" x14ac:dyDescent="0.15">
      <c r="A7" s="5" t="s">
        <v>38</v>
      </c>
      <c r="B7" s="4">
        <v>0</v>
      </c>
      <c r="C7" s="4">
        <f>SUM(B18:B19)</f>
        <v>2713.0840213695969</v>
      </c>
      <c r="D7" s="5">
        <v>0</v>
      </c>
      <c r="E7" s="5">
        <v>0</v>
      </c>
      <c r="J7" s="5" t="s">
        <v>38</v>
      </c>
      <c r="K7" s="4">
        <v>0</v>
      </c>
      <c r="L7" s="5">
        <v>3520</v>
      </c>
      <c r="M7" s="5">
        <v>0</v>
      </c>
      <c r="N7" s="4">
        <f t="shared" si="0"/>
        <v>0</v>
      </c>
      <c r="P7" s="6"/>
      <c r="S7" s="5" t="s">
        <v>38</v>
      </c>
      <c r="T7" s="4">
        <v>0</v>
      </c>
      <c r="U7" s="5">
        <v>3520</v>
      </c>
      <c r="V7" s="5">
        <v>0</v>
      </c>
      <c r="W7" s="4">
        <f t="shared" si="1"/>
        <v>0</v>
      </c>
      <c r="Y7" s="6"/>
      <c r="AB7" s="5" t="s">
        <v>38</v>
      </c>
      <c r="AC7" s="4">
        <v>0</v>
      </c>
      <c r="AD7" s="5">
        <v>3520</v>
      </c>
      <c r="AE7" s="5">
        <v>0</v>
      </c>
      <c r="AF7" s="4">
        <f t="shared" si="2"/>
        <v>0</v>
      </c>
    </row>
    <row r="8" spans="1:32" ht="15.75" customHeight="1" x14ac:dyDescent="0.15">
      <c r="A8" s="5" t="s">
        <v>39</v>
      </c>
      <c r="B8" s="4">
        <v>0</v>
      </c>
      <c r="C8" s="4">
        <f t="shared" ref="C8:C9" si="3">SUM(B20)</f>
        <v>600.91306459446332</v>
      </c>
      <c r="D8" s="5">
        <v>0</v>
      </c>
      <c r="E8" s="5">
        <v>0</v>
      </c>
      <c r="J8" s="5" t="s">
        <v>40</v>
      </c>
      <c r="K8" s="4">
        <v>0</v>
      </c>
      <c r="L8" s="4">
        <f t="shared" ref="L8:L9" si="4">K14</f>
        <v>0</v>
      </c>
      <c r="M8" s="5">
        <v>0</v>
      </c>
      <c r="N8" s="4">
        <f t="shared" si="0"/>
        <v>0</v>
      </c>
      <c r="P8" s="6"/>
      <c r="Q8" s="6"/>
      <c r="R8" s="6"/>
      <c r="S8" s="5" t="s">
        <v>41</v>
      </c>
      <c r="T8" s="4">
        <v>0</v>
      </c>
      <c r="U8" s="4">
        <f t="shared" ref="U8:U9" si="5">T13</f>
        <v>37.486559999999997</v>
      </c>
      <c r="V8" s="5">
        <v>0</v>
      </c>
      <c r="W8" s="4">
        <f t="shared" si="1"/>
        <v>0</v>
      </c>
      <c r="Y8" s="6"/>
      <c r="AB8" s="5" t="s">
        <v>41</v>
      </c>
      <c r="AC8" s="4">
        <v>0</v>
      </c>
      <c r="AD8" s="4">
        <f t="shared" ref="AD8:AD9" si="6">AC13</f>
        <v>37.486559999999997</v>
      </c>
      <c r="AE8" s="5">
        <v>0</v>
      </c>
      <c r="AF8" s="4">
        <f t="shared" si="2"/>
        <v>0</v>
      </c>
    </row>
    <row r="9" spans="1:32" ht="15.75" customHeight="1" x14ac:dyDescent="0.15">
      <c r="A9" s="5" t="s">
        <v>42</v>
      </c>
      <c r="B9" s="4">
        <v>0</v>
      </c>
      <c r="C9" s="4">
        <f t="shared" si="3"/>
        <v>206.00291403593977</v>
      </c>
      <c r="D9" s="5">
        <v>0</v>
      </c>
      <c r="E9" s="5">
        <v>0</v>
      </c>
      <c r="J9" s="5" t="s">
        <v>43</v>
      </c>
      <c r="K9" s="4">
        <v>0</v>
      </c>
      <c r="L9" s="4">
        <f t="shared" si="4"/>
        <v>176</v>
      </c>
      <c r="M9" s="5">
        <v>0</v>
      </c>
      <c r="N9" s="4">
        <f t="shared" si="0"/>
        <v>0</v>
      </c>
      <c r="P9" s="6"/>
      <c r="Q9" s="6"/>
      <c r="R9" s="6"/>
      <c r="S9" s="5" t="s">
        <v>44</v>
      </c>
      <c r="T9" s="4">
        <v>0</v>
      </c>
      <c r="U9" s="4">
        <f t="shared" si="5"/>
        <v>138.51344</v>
      </c>
      <c r="V9" s="5">
        <v>0</v>
      </c>
      <c r="W9" s="4">
        <f t="shared" si="1"/>
        <v>0</v>
      </c>
      <c r="Y9" s="6"/>
      <c r="AB9" s="5" t="s">
        <v>45</v>
      </c>
      <c r="AC9" s="4">
        <v>0</v>
      </c>
      <c r="AD9" s="4">
        <f t="shared" si="6"/>
        <v>138.51344</v>
      </c>
      <c r="AE9" s="5">
        <v>0</v>
      </c>
      <c r="AF9" s="4">
        <f t="shared" si="2"/>
        <v>0</v>
      </c>
    </row>
    <row r="10" spans="1:32" ht="15.75" customHeight="1" x14ac:dyDescent="0.15">
      <c r="A10" s="5" t="s">
        <v>41</v>
      </c>
      <c r="B10" s="4">
        <v>0</v>
      </c>
      <c r="C10" s="4">
        <f>SUM(B22:B23)</f>
        <v>1.9526627218934913</v>
      </c>
      <c r="D10" s="5">
        <v>0</v>
      </c>
      <c r="E10" s="5">
        <v>0</v>
      </c>
      <c r="J10" s="5" t="s">
        <v>46</v>
      </c>
      <c r="K10" s="4">
        <v>0</v>
      </c>
      <c r="L10" s="4">
        <f>SUM(K16:K17)</f>
        <v>168</v>
      </c>
      <c r="M10" s="5">
        <v>0</v>
      </c>
      <c r="N10" s="4">
        <f t="shared" si="0"/>
        <v>0</v>
      </c>
      <c r="P10" s="6"/>
      <c r="Q10" s="6"/>
      <c r="R10" s="6"/>
      <c r="S10" s="5" t="s">
        <v>47</v>
      </c>
      <c r="T10" s="4">
        <v>0</v>
      </c>
      <c r="U10" s="4">
        <f>SUM(T15)</f>
        <v>91.882570000000001</v>
      </c>
      <c r="V10" s="5">
        <v>0</v>
      </c>
      <c r="W10" s="4">
        <f t="shared" si="1"/>
        <v>0</v>
      </c>
      <c r="Y10" s="6"/>
      <c r="AB10" s="5" t="s">
        <v>47</v>
      </c>
      <c r="AC10" s="4">
        <v>0</v>
      </c>
      <c r="AD10" s="4">
        <f>SUM(AC15)</f>
        <v>91.882570000000001</v>
      </c>
      <c r="AE10" s="5">
        <v>0</v>
      </c>
      <c r="AF10" s="4">
        <f t="shared" si="2"/>
        <v>0</v>
      </c>
    </row>
    <row r="11" spans="1:32" ht="15.75" customHeight="1" x14ac:dyDescent="0.15">
      <c r="A11" s="5" t="s">
        <v>44</v>
      </c>
      <c r="B11" s="4">
        <v>0</v>
      </c>
      <c r="C11" s="4">
        <f t="shared" ref="C11:C12" si="7">SUM(B24)</f>
        <v>45.353846153846149</v>
      </c>
      <c r="D11" s="5">
        <v>0</v>
      </c>
      <c r="E11" s="5">
        <v>0</v>
      </c>
      <c r="J11" s="5" t="s">
        <v>48</v>
      </c>
      <c r="K11" s="4">
        <v>0</v>
      </c>
      <c r="L11" s="4">
        <f t="shared" ref="L11:L12" si="8">K18</f>
        <v>49.8</v>
      </c>
      <c r="M11" s="5">
        <v>0</v>
      </c>
      <c r="N11" s="4">
        <f t="shared" si="0"/>
        <v>0</v>
      </c>
      <c r="P11" s="6"/>
      <c r="Q11" s="6"/>
      <c r="R11" s="6"/>
      <c r="S11" s="5" t="s">
        <v>46</v>
      </c>
      <c r="T11" s="4">
        <v>0</v>
      </c>
      <c r="U11" s="4">
        <f>T16</f>
        <v>128.11743000000001</v>
      </c>
      <c r="V11" s="5">
        <v>0</v>
      </c>
      <c r="W11" s="4">
        <f t="shared" si="1"/>
        <v>0</v>
      </c>
      <c r="AB11" s="5" t="s">
        <v>49</v>
      </c>
      <c r="AC11" s="4">
        <v>0</v>
      </c>
      <c r="AD11" s="4">
        <f>AC16</f>
        <v>128.11743000000001</v>
      </c>
      <c r="AE11" s="5">
        <v>0</v>
      </c>
      <c r="AF11" s="4">
        <f t="shared" si="2"/>
        <v>0</v>
      </c>
    </row>
    <row r="12" spans="1:32" ht="15.75" customHeight="1" x14ac:dyDescent="0.15">
      <c r="A12" s="5" t="s">
        <v>40</v>
      </c>
      <c r="B12" s="4">
        <v>0</v>
      </c>
      <c r="C12" s="4">
        <f t="shared" si="7"/>
        <v>72.691124260355025</v>
      </c>
      <c r="D12" s="5">
        <v>0</v>
      </c>
      <c r="E12" s="5">
        <v>0</v>
      </c>
      <c r="J12" s="5" t="s">
        <v>49</v>
      </c>
      <c r="K12" s="4">
        <v>0</v>
      </c>
      <c r="L12" s="4">
        <f t="shared" si="8"/>
        <v>2.2000000000000028</v>
      </c>
      <c r="M12" s="5">
        <v>0</v>
      </c>
      <c r="N12" s="4">
        <f t="shared" si="0"/>
        <v>0</v>
      </c>
      <c r="S12" s="5" t="s">
        <v>50</v>
      </c>
      <c r="T12" s="5">
        <v>3520</v>
      </c>
      <c r="U12" s="4">
        <v>0</v>
      </c>
      <c r="V12" s="5">
        <v>0</v>
      </c>
      <c r="W12" s="5">
        <f t="shared" si="1"/>
        <v>3520</v>
      </c>
      <c r="AB12" s="5" t="s">
        <v>50</v>
      </c>
      <c r="AC12" s="5">
        <v>3520</v>
      </c>
      <c r="AD12" s="4">
        <v>0</v>
      </c>
      <c r="AE12" s="5">
        <v>0</v>
      </c>
      <c r="AF12" s="5">
        <f t="shared" si="2"/>
        <v>3520</v>
      </c>
    </row>
    <row r="13" spans="1:32" ht="15.75" customHeight="1" x14ac:dyDescent="0.15">
      <c r="A13" s="5" t="s">
        <v>43</v>
      </c>
      <c r="B13" s="4">
        <v>0</v>
      </c>
      <c r="C13" s="4">
        <f>SUM(B26:B27)</f>
        <v>56.00236686390533</v>
      </c>
      <c r="D13" s="5">
        <v>0</v>
      </c>
      <c r="E13" s="5">
        <v>0</v>
      </c>
      <c r="J13" s="5" t="s">
        <v>50</v>
      </c>
      <c r="K13" s="5">
        <v>3520</v>
      </c>
      <c r="L13" s="4">
        <v>0</v>
      </c>
      <c r="M13" s="5">
        <v>0</v>
      </c>
      <c r="N13" s="5">
        <f t="shared" si="0"/>
        <v>3520</v>
      </c>
      <c r="P13" s="6"/>
      <c r="Q13" s="6"/>
      <c r="R13" s="6"/>
      <c r="S13" s="5" t="s">
        <v>51</v>
      </c>
      <c r="T13" s="4">
        <v>37.486559999999997</v>
      </c>
      <c r="U13" s="4">
        <v>0</v>
      </c>
      <c r="V13" s="5">
        <v>0</v>
      </c>
      <c r="W13" s="4">
        <f t="shared" si="1"/>
        <v>37.486559999999997</v>
      </c>
      <c r="AB13" s="5" t="s">
        <v>51</v>
      </c>
      <c r="AC13" s="4">
        <v>37.486559999999997</v>
      </c>
      <c r="AD13" s="4">
        <v>0</v>
      </c>
      <c r="AE13" s="5">
        <v>0</v>
      </c>
      <c r="AF13" s="4">
        <f t="shared" si="2"/>
        <v>37.486559999999997</v>
      </c>
    </row>
    <row r="14" spans="1:32" ht="15.75" customHeight="1" x14ac:dyDescent="0.15">
      <c r="A14" s="5" t="s">
        <v>47</v>
      </c>
      <c r="B14" s="4">
        <v>0</v>
      </c>
      <c r="C14" s="4">
        <f>SUM(B28:B29)</f>
        <v>65.0096463022508</v>
      </c>
      <c r="D14" s="5">
        <v>0</v>
      </c>
      <c r="E14" s="5">
        <v>0</v>
      </c>
      <c r="J14" s="5" t="s">
        <v>52</v>
      </c>
      <c r="K14" s="4">
        <v>0</v>
      </c>
      <c r="L14" s="4">
        <v>0</v>
      </c>
      <c r="M14" s="5">
        <v>0</v>
      </c>
      <c r="N14" s="4">
        <f t="shared" si="0"/>
        <v>0</v>
      </c>
      <c r="P14" s="6"/>
      <c r="Q14" s="6"/>
      <c r="R14" s="6"/>
      <c r="S14" s="5" t="s">
        <v>53</v>
      </c>
      <c r="T14" s="4">
        <f>176-T13</f>
        <v>138.51344</v>
      </c>
      <c r="U14" s="4">
        <v>0</v>
      </c>
      <c r="V14" s="5">
        <v>0</v>
      </c>
      <c r="W14" s="4">
        <f t="shared" si="1"/>
        <v>138.51344</v>
      </c>
      <c r="AB14" s="5" t="s">
        <v>54</v>
      </c>
      <c r="AC14" s="4">
        <f>176-AC13</f>
        <v>138.51344</v>
      </c>
      <c r="AD14" s="4">
        <v>0</v>
      </c>
      <c r="AE14" s="5">
        <v>0</v>
      </c>
      <c r="AF14" s="4">
        <f t="shared" si="2"/>
        <v>138.51344</v>
      </c>
    </row>
    <row r="15" spans="1:32" ht="15.75" customHeight="1" x14ac:dyDescent="0.15">
      <c r="A15" s="5" t="s">
        <v>46</v>
      </c>
      <c r="B15" s="4">
        <v>0</v>
      </c>
      <c r="C15" s="4">
        <f>B30</f>
        <v>118.48874598070738</v>
      </c>
      <c r="D15" s="5">
        <v>0</v>
      </c>
      <c r="E15" s="5">
        <v>0</v>
      </c>
      <c r="J15" s="5" t="s">
        <v>55</v>
      </c>
      <c r="K15" s="4">
        <v>176</v>
      </c>
      <c r="L15" s="4">
        <v>0</v>
      </c>
      <c r="M15" s="5">
        <v>0</v>
      </c>
      <c r="N15" s="4">
        <f t="shared" si="0"/>
        <v>176</v>
      </c>
      <c r="S15" s="5" t="s">
        <v>56</v>
      </c>
      <c r="T15" s="4">
        <v>91.882570000000001</v>
      </c>
      <c r="U15" s="4">
        <v>0</v>
      </c>
      <c r="V15" s="5">
        <v>0</v>
      </c>
      <c r="W15" s="4">
        <f t="shared" si="1"/>
        <v>91.882570000000001</v>
      </c>
      <c r="AB15" s="5" t="s">
        <v>56</v>
      </c>
      <c r="AC15" s="4">
        <v>91.882570000000001</v>
      </c>
      <c r="AD15" s="4">
        <v>0</v>
      </c>
      <c r="AE15" s="5">
        <v>0</v>
      </c>
      <c r="AF15" s="4">
        <f t="shared" si="2"/>
        <v>91.882570000000001</v>
      </c>
    </row>
    <row r="16" spans="1:32" ht="15.75" customHeight="1" x14ac:dyDescent="0.15">
      <c r="A16" s="5" t="s">
        <v>57</v>
      </c>
      <c r="B16" s="4">
        <v>0</v>
      </c>
      <c r="C16" s="4">
        <f>SUM(B31)</f>
        <v>1.2733118971061095</v>
      </c>
      <c r="D16" s="5">
        <v>0</v>
      </c>
      <c r="E16" s="5">
        <v>0</v>
      </c>
      <c r="J16" s="5" t="s">
        <v>58</v>
      </c>
      <c r="K16" s="4">
        <v>168</v>
      </c>
      <c r="L16" s="4">
        <v>0</v>
      </c>
      <c r="M16" s="5">
        <v>0</v>
      </c>
      <c r="N16" s="4">
        <f t="shared" si="0"/>
        <v>168</v>
      </c>
      <c r="P16" s="6"/>
      <c r="Q16" s="6"/>
      <c r="R16" s="6"/>
      <c r="S16" s="5" t="s">
        <v>58</v>
      </c>
      <c r="T16" s="4">
        <f>220-T15</f>
        <v>128.11743000000001</v>
      </c>
      <c r="U16" s="4">
        <v>0</v>
      </c>
      <c r="V16" s="5">
        <v>0</v>
      </c>
      <c r="W16" s="4">
        <f t="shared" si="1"/>
        <v>128.11743000000001</v>
      </c>
      <c r="AB16" s="5" t="s">
        <v>59</v>
      </c>
      <c r="AC16" s="4">
        <f>220-AC15</f>
        <v>128.11743000000001</v>
      </c>
      <c r="AD16" s="4">
        <v>0</v>
      </c>
      <c r="AE16" s="5">
        <v>0</v>
      </c>
      <c r="AF16" s="4">
        <f t="shared" si="2"/>
        <v>128.11743000000001</v>
      </c>
    </row>
    <row r="17" spans="1:21" ht="15.75" customHeight="1" x14ac:dyDescent="0.15">
      <c r="A17" s="5" t="s">
        <v>48</v>
      </c>
      <c r="B17" s="4">
        <v>0</v>
      </c>
      <c r="C17" s="4">
        <f>SUM(B32:B33)</f>
        <v>35.228295819935688</v>
      </c>
      <c r="D17" s="5">
        <v>0</v>
      </c>
      <c r="E17" s="5">
        <v>0</v>
      </c>
      <c r="J17" s="5" t="s">
        <v>60</v>
      </c>
      <c r="K17" s="4">
        <v>0</v>
      </c>
      <c r="L17" s="4">
        <v>0</v>
      </c>
      <c r="M17" s="5">
        <v>0</v>
      </c>
      <c r="N17" s="4">
        <f t="shared" si="0"/>
        <v>0</v>
      </c>
      <c r="P17" s="6"/>
      <c r="Q17" s="6"/>
      <c r="R17" s="6"/>
    </row>
    <row r="18" spans="1:21" ht="15.75" customHeight="1" x14ac:dyDescent="0.15">
      <c r="A18" s="5" t="s">
        <v>50</v>
      </c>
      <c r="B18" s="4">
        <f>31740/41180*3520*13.3/61.3</f>
        <v>588.64628848638893</v>
      </c>
      <c r="C18" s="4">
        <v>0</v>
      </c>
      <c r="D18" s="5">
        <v>0</v>
      </c>
      <c r="E18" s="4">
        <f t="shared" ref="E18:E33" si="9">B18</f>
        <v>588.64628848638893</v>
      </c>
      <c r="J18" s="5" t="s">
        <v>61</v>
      </c>
      <c r="K18" s="4">
        <v>49.8</v>
      </c>
      <c r="L18" s="4">
        <v>0</v>
      </c>
      <c r="M18" s="5">
        <v>0</v>
      </c>
      <c r="N18" s="4">
        <f t="shared" si="0"/>
        <v>49.8</v>
      </c>
      <c r="P18" s="6"/>
      <c r="Q18" s="6"/>
      <c r="R18" s="6"/>
      <c r="T18" s="4"/>
      <c r="U18" s="4"/>
    </row>
    <row r="19" spans="1:21" ht="15.75" customHeight="1" x14ac:dyDescent="0.15">
      <c r="A19" s="7" t="s">
        <v>62</v>
      </c>
      <c r="B19" s="4">
        <f>3520*31740/41180*48/61.3</f>
        <v>2124.4377328832079</v>
      </c>
      <c r="C19" s="4">
        <v>0</v>
      </c>
      <c r="D19" s="5">
        <v>0</v>
      </c>
      <c r="E19" s="4">
        <f t="shared" si="9"/>
        <v>2124.4377328832079</v>
      </c>
      <c r="F19" s="5" t="s">
        <v>63</v>
      </c>
      <c r="G19" s="8">
        <f>D4/SUM(D4:D6)</f>
        <v>0.898876404494382</v>
      </c>
      <c r="J19" s="5" t="s">
        <v>59</v>
      </c>
      <c r="K19" s="4">
        <f>220-K16-K18</f>
        <v>2.2000000000000028</v>
      </c>
      <c r="L19" s="4">
        <v>0</v>
      </c>
      <c r="M19" s="5">
        <v>0</v>
      </c>
      <c r="N19" s="4">
        <f t="shared" si="0"/>
        <v>2.2000000000000028</v>
      </c>
      <c r="U19" s="4"/>
    </row>
    <row r="20" spans="1:21" ht="15.75" customHeight="1" x14ac:dyDescent="0.15">
      <c r="A20" s="5" t="s">
        <v>64</v>
      </c>
      <c r="B20" s="4">
        <f>7030/41180*3520</f>
        <v>600.91306459446332</v>
      </c>
      <c r="C20" s="4">
        <v>0</v>
      </c>
      <c r="D20" s="5">
        <v>0</v>
      </c>
      <c r="E20" s="4">
        <f t="shared" si="9"/>
        <v>600.91306459446332</v>
      </c>
      <c r="F20" s="5" t="s">
        <v>65</v>
      </c>
      <c r="G20" s="8">
        <f>(C7+C10+C14)/SUM(D4:D6)</f>
        <v>0.70991990050912701</v>
      </c>
      <c r="P20" s="6"/>
      <c r="Q20" s="6"/>
      <c r="R20" s="6"/>
    </row>
    <row r="21" spans="1:21" ht="15.75" customHeight="1" x14ac:dyDescent="0.15">
      <c r="A21" s="5" t="s">
        <v>66</v>
      </c>
      <c r="B21" s="4">
        <f>2410/41180*3520</f>
        <v>206.00291403593977</v>
      </c>
      <c r="C21" s="4">
        <v>0</v>
      </c>
      <c r="D21" s="5">
        <v>0</v>
      </c>
      <c r="E21" s="4">
        <f t="shared" si="9"/>
        <v>206.00291403593977</v>
      </c>
      <c r="F21" s="5" t="s">
        <v>67</v>
      </c>
      <c r="G21" s="8">
        <f>(B18+B22+B28)/SUM(D4:D6)</f>
        <v>0.16370788315379314</v>
      </c>
      <c r="P21" s="6"/>
      <c r="Q21" s="6"/>
      <c r="R21" s="6"/>
    </row>
    <row r="22" spans="1:21" ht="15.75" customHeight="1" x14ac:dyDescent="0.15">
      <c r="A22" s="5" t="s">
        <v>51</v>
      </c>
      <c r="B22" s="4">
        <f>37.5/3380*176*48/61.3</f>
        <v>1.5290018050715755</v>
      </c>
      <c r="C22" s="4">
        <v>0</v>
      </c>
      <c r="D22" s="5">
        <v>0</v>
      </c>
      <c r="E22" s="4">
        <f t="shared" si="9"/>
        <v>1.5290018050715755</v>
      </c>
    </row>
    <row r="23" spans="1:21" ht="15.75" customHeight="1" x14ac:dyDescent="0.15">
      <c r="A23" s="5" t="s">
        <v>68</v>
      </c>
      <c r="B23" s="4">
        <f>37.5/3380*176*13.3/61.3</f>
        <v>0.42366091682191576</v>
      </c>
      <c r="C23" s="4">
        <v>0</v>
      </c>
      <c r="D23" s="5">
        <v>0</v>
      </c>
      <c r="E23" s="4">
        <f t="shared" si="9"/>
        <v>0.42366091682191576</v>
      </c>
    </row>
    <row r="24" spans="1:21" ht="15.75" customHeight="1" x14ac:dyDescent="0.15">
      <c r="A24" s="5" t="s">
        <v>53</v>
      </c>
      <c r="B24" s="4">
        <f>871/3380*176</f>
        <v>45.353846153846149</v>
      </c>
      <c r="C24" s="4">
        <v>0</v>
      </c>
      <c r="D24" s="5">
        <v>0</v>
      </c>
      <c r="E24" s="4">
        <f t="shared" si="9"/>
        <v>45.353846153846149</v>
      </c>
      <c r="P24" s="6"/>
      <c r="Q24" s="6"/>
      <c r="R24" s="6"/>
    </row>
    <row r="25" spans="1:21" ht="15.75" customHeight="1" x14ac:dyDescent="0.15">
      <c r="A25" s="5" t="s">
        <v>52</v>
      </c>
      <c r="B25" s="4">
        <f>1396/3380*176</f>
        <v>72.691124260355025</v>
      </c>
      <c r="C25" s="4">
        <v>0</v>
      </c>
      <c r="D25" s="5">
        <v>0</v>
      </c>
      <c r="E25" s="4">
        <f t="shared" si="9"/>
        <v>72.691124260355025</v>
      </c>
    </row>
    <row r="26" spans="1:21" ht="15.75" customHeight="1" x14ac:dyDescent="0.15">
      <c r="A26" s="5" t="s">
        <v>69</v>
      </c>
      <c r="B26" s="4">
        <f>1075.5/3380*176*295/(710+295)</f>
        <v>16.438505696370221</v>
      </c>
      <c r="C26" s="4">
        <v>0</v>
      </c>
      <c r="D26" s="5">
        <v>0</v>
      </c>
      <c r="E26" s="4">
        <f t="shared" si="9"/>
        <v>16.438505696370221</v>
      </c>
      <c r="K26" s="4"/>
      <c r="L26" s="4"/>
    </row>
    <row r="27" spans="1:21" ht="15.75" customHeight="1" x14ac:dyDescent="0.15">
      <c r="A27" s="5" t="s">
        <v>55</v>
      </c>
      <c r="B27" s="4">
        <f>1075.5/3380*176*710/(710+295)</f>
        <v>39.563861167535109</v>
      </c>
      <c r="C27" s="4">
        <v>0</v>
      </c>
      <c r="D27" s="5">
        <v>0</v>
      </c>
      <c r="E27" s="4">
        <f t="shared" si="9"/>
        <v>39.563861167535109</v>
      </c>
      <c r="K27" s="4"/>
      <c r="L27" s="4"/>
    </row>
    <row r="28" spans="1:21" ht="15.75" customHeight="1" x14ac:dyDescent="0.15">
      <c r="A28" s="5" t="s">
        <v>56</v>
      </c>
      <c r="B28" s="4">
        <f>91.9/311*220*48/61.3</f>
        <v>50.904780138793448</v>
      </c>
      <c r="C28" s="4">
        <v>0</v>
      </c>
      <c r="D28" s="5">
        <v>0</v>
      </c>
      <c r="E28" s="4">
        <f t="shared" si="9"/>
        <v>50.904780138793448</v>
      </c>
      <c r="K28" s="4"/>
      <c r="L28" s="4"/>
    </row>
    <row r="29" spans="1:21" ht="15.75" customHeight="1" x14ac:dyDescent="0.15">
      <c r="A29" s="5" t="s">
        <v>70</v>
      </c>
      <c r="B29" s="4">
        <f>91.9/311*220*13.3/61.3</f>
        <v>14.104866163457354</v>
      </c>
      <c r="C29" s="4">
        <v>0</v>
      </c>
      <c r="D29" s="5">
        <v>0</v>
      </c>
      <c r="E29" s="4">
        <f t="shared" si="9"/>
        <v>14.104866163457354</v>
      </c>
      <c r="K29" s="4"/>
      <c r="L29" s="4"/>
    </row>
    <row r="30" spans="1:21" ht="15.75" customHeight="1" x14ac:dyDescent="0.15">
      <c r="A30" s="5" t="s">
        <v>58</v>
      </c>
      <c r="B30" s="4">
        <f>167.5/311*220</f>
        <v>118.48874598070738</v>
      </c>
      <c r="C30" s="4">
        <v>0</v>
      </c>
      <c r="D30" s="5">
        <v>0</v>
      </c>
      <c r="E30" s="4">
        <f t="shared" si="9"/>
        <v>118.48874598070738</v>
      </c>
      <c r="K30" s="4"/>
      <c r="L30" s="4"/>
    </row>
    <row r="31" spans="1:21" ht="15.75" customHeight="1" x14ac:dyDescent="0.15">
      <c r="A31" s="5" t="s">
        <v>71</v>
      </c>
      <c r="B31" s="4">
        <f>1.8/311*220</f>
        <v>1.2733118971061095</v>
      </c>
      <c r="C31" s="4">
        <v>0</v>
      </c>
      <c r="D31" s="5">
        <v>0</v>
      </c>
      <c r="E31" s="4">
        <f t="shared" si="9"/>
        <v>1.2733118971061095</v>
      </c>
    </row>
    <row r="32" spans="1:21" ht="15.75" customHeight="1" x14ac:dyDescent="0.15">
      <c r="A32" s="5" t="s">
        <v>72</v>
      </c>
      <c r="B32" s="4">
        <f>49.8/311*220*295/(295+710)</f>
        <v>10.340644046647789</v>
      </c>
      <c r="C32" s="4">
        <v>0</v>
      </c>
      <c r="D32" s="5">
        <v>0</v>
      </c>
      <c r="E32" s="4">
        <f t="shared" si="9"/>
        <v>10.340644046647789</v>
      </c>
    </row>
    <row r="33" spans="1:14" ht="15.75" customHeight="1" x14ac:dyDescent="0.15">
      <c r="A33" s="5" t="s">
        <v>61</v>
      </c>
      <c r="B33" s="4">
        <f>49.8/311*220*710/(295+710)</f>
        <v>24.887651773287899</v>
      </c>
      <c r="C33" s="4">
        <v>0</v>
      </c>
      <c r="D33" s="5">
        <v>0</v>
      </c>
      <c r="E33" s="4">
        <f t="shared" si="9"/>
        <v>24.887651773287899</v>
      </c>
    </row>
    <row r="35" spans="1:14" ht="15.75" customHeight="1" x14ac:dyDescent="0.15">
      <c r="L35" s="4"/>
      <c r="M35" s="4"/>
      <c r="N35" s="4"/>
    </row>
    <row r="36" spans="1:14" ht="15.75" customHeight="1" x14ac:dyDescent="0.15">
      <c r="L36" s="4"/>
      <c r="M36" s="4"/>
      <c r="N36" s="4"/>
    </row>
    <row r="37" spans="1:14" ht="15.75" customHeight="1" x14ac:dyDescent="0.15">
      <c r="B37" s="5"/>
      <c r="C37" s="5"/>
      <c r="D37" s="5"/>
      <c r="L37" s="4"/>
      <c r="M37" s="4"/>
      <c r="N37" s="4"/>
    </row>
    <row r="38" spans="1:14" ht="15.75" customHeight="1" x14ac:dyDescent="0.15">
      <c r="A38" s="5"/>
      <c r="B38" s="4"/>
      <c r="C38" s="4"/>
      <c r="D38" s="4"/>
      <c r="L38" s="4"/>
      <c r="M38" s="4"/>
      <c r="N38" s="4"/>
    </row>
    <row r="39" spans="1:14" ht="15.75" customHeight="1" x14ac:dyDescent="0.15">
      <c r="A39" s="5"/>
      <c r="B39" s="4"/>
      <c r="C39" s="4"/>
      <c r="D39" s="4"/>
      <c r="L39" s="4"/>
      <c r="M39" s="4"/>
      <c r="N39" s="4"/>
    </row>
    <row r="40" spans="1:14" ht="15.75" customHeight="1" x14ac:dyDescent="0.15">
      <c r="A40" s="5"/>
      <c r="B40" s="4"/>
      <c r="C40" s="4"/>
      <c r="D40" s="4"/>
      <c r="L40" s="4"/>
      <c r="M40" s="4"/>
      <c r="N40" s="4"/>
    </row>
    <row r="41" spans="1:14" ht="15.75" customHeight="1" x14ac:dyDescent="0.15">
      <c r="A41" s="5"/>
      <c r="B41" s="4"/>
      <c r="C41" s="4"/>
      <c r="D41" s="5"/>
      <c r="L41" s="4"/>
      <c r="M41" s="4"/>
      <c r="N41" s="4"/>
    </row>
    <row r="42" spans="1:14" ht="15.75" customHeight="1" x14ac:dyDescent="0.15">
      <c r="A42" s="5"/>
      <c r="B42" s="4"/>
      <c r="C42" s="4"/>
      <c r="D42" s="5"/>
      <c r="L42" s="4"/>
      <c r="M42" s="4"/>
      <c r="N42" s="4"/>
    </row>
    <row r="43" spans="1:14" ht="15.75" customHeight="1" x14ac:dyDescent="0.15">
      <c r="A43" s="5"/>
      <c r="B43" s="4"/>
      <c r="C43" s="4"/>
      <c r="D43" s="5"/>
      <c r="L43" s="4"/>
      <c r="M43" s="4"/>
      <c r="N43" s="4"/>
    </row>
    <row r="44" spans="1:14" ht="15.75" customHeight="1" x14ac:dyDescent="0.15">
      <c r="A44" s="5"/>
      <c r="B44" s="4"/>
      <c r="C44" s="4"/>
      <c r="D44" s="5"/>
      <c r="L44" s="4"/>
      <c r="M44" s="4"/>
      <c r="N44" s="4"/>
    </row>
    <row r="45" spans="1:14" ht="13" x14ac:dyDescent="0.15">
      <c r="A45" s="5"/>
      <c r="B45" s="4"/>
      <c r="C45" s="4"/>
      <c r="D45" s="5"/>
      <c r="L45" s="4"/>
      <c r="M45" s="4"/>
      <c r="N45" s="4"/>
    </row>
    <row r="46" spans="1:14" ht="13" x14ac:dyDescent="0.15">
      <c r="A46" s="5"/>
      <c r="B46" s="4"/>
      <c r="C46" s="4"/>
      <c r="D46" s="5"/>
      <c r="L46" s="4"/>
      <c r="M46" s="4"/>
      <c r="N46" s="4"/>
    </row>
    <row r="47" spans="1:14" ht="13" x14ac:dyDescent="0.15">
      <c r="A47" s="5"/>
      <c r="B47" s="4"/>
      <c r="C47" s="4"/>
      <c r="D47" s="5"/>
      <c r="L47" s="4"/>
      <c r="M47" s="4"/>
      <c r="N47" s="4"/>
    </row>
    <row r="48" spans="1:14" ht="13" x14ac:dyDescent="0.15">
      <c r="A48" s="5"/>
      <c r="B48" s="4"/>
      <c r="C48" s="4"/>
      <c r="D48" s="5"/>
      <c r="L48" s="4"/>
      <c r="M48" s="4"/>
      <c r="N48" s="4"/>
    </row>
    <row r="49" spans="1:14" ht="13" x14ac:dyDescent="0.15">
      <c r="A49" s="5"/>
      <c r="B49" s="4"/>
      <c r="C49" s="4"/>
      <c r="D49" s="5"/>
      <c r="L49" s="4"/>
      <c r="M49" s="4"/>
      <c r="N49" s="4"/>
    </row>
    <row r="50" spans="1:14" ht="13" x14ac:dyDescent="0.15">
      <c r="A50" s="5"/>
      <c r="B50" s="4"/>
      <c r="C50" s="4"/>
      <c r="D50" s="5"/>
      <c r="L50" s="4"/>
      <c r="M50" s="4"/>
      <c r="N50" s="4"/>
    </row>
    <row r="51" spans="1:14" ht="13" x14ac:dyDescent="0.15">
      <c r="A51" s="5"/>
      <c r="B51" s="4"/>
      <c r="C51" s="4"/>
      <c r="D51" s="5"/>
      <c r="L51" s="4"/>
      <c r="M51" s="4"/>
      <c r="N51" s="4"/>
    </row>
    <row r="52" spans="1:14" ht="13" x14ac:dyDescent="0.15">
      <c r="A52" s="5"/>
      <c r="B52" s="4"/>
      <c r="C52" s="4"/>
      <c r="D52" s="5"/>
      <c r="L52" s="4"/>
      <c r="M52" s="4"/>
      <c r="N52" s="4"/>
    </row>
    <row r="53" spans="1:14" ht="13" x14ac:dyDescent="0.15">
      <c r="A53" s="7"/>
      <c r="B53" s="4"/>
      <c r="C53" s="4"/>
      <c r="D53" s="5"/>
      <c r="L53" s="4"/>
      <c r="M53" s="4"/>
      <c r="N53" s="4"/>
    </row>
    <row r="54" spans="1:14" ht="13" x14ac:dyDescent="0.15">
      <c r="A54" s="5"/>
      <c r="B54" s="4"/>
      <c r="C54" s="4"/>
      <c r="D54" s="5"/>
      <c r="L54" s="4"/>
      <c r="M54" s="4"/>
      <c r="N54" s="4"/>
    </row>
    <row r="55" spans="1:14" ht="13" x14ac:dyDescent="0.15">
      <c r="A55" s="5"/>
      <c r="B55" s="4"/>
      <c r="C55" s="4"/>
      <c r="D55" s="5"/>
      <c r="L55" s="4"/>
      <c r="M55" s="4"/>
      <c r="N55" s="4"/>
    </row>
    <row r="56" spans="1:14" ht="13" x14ac:dyDescent="0.15">
      <c r="A56" s="5"/>
      <c r="B56" s="4"/>
      <c r="C56" s="4"/>
      <c r="D56" s="5"/>
      <c r="L56" s="4"/>
      <c r="M56" s="4"/>
      <c r="N56" s="4"/>
    </row>
    <row r="57" spans="1:14" ht="13" x14ac:dyDescent="0.15">
      <c r="A57" s="5"/>
      <c r="B57" s="4"/>
      <c r="C57" s="4"/>
      <c r="D57" s="5"/>
      <c r="L57" s="4"/>
      <c r="M57" s="4"/>
      <c r="N57" s="4"/>
    </row>
    <row r="58" spans="1:14" ht="13" x14ac:dyDescent="0.15">
      <c r="A58" s="5"/>
      <c r="B58" s="4"/>
      <c r="C58" s="4"/>
      <c r="D58" s="5"/>
      <c r="L58" s="4"/>
      <c r="M58" s="4"/>
      <c r="N58" s="4"/>
    </row>
    <row r="59" spans="1:14" ht="13" x14ac:dyDescent="0.15">
      <c r="A59" s="5"/>
      <c r="B59" s="4"/>
      <c r="C59" s="4"/>
      <c r="D59" s="5"/>
      <c r="L59" s="4"/>
      <c r="M59" s="4"/>
      <c r="N59" s="4"/>
    </row>
    <row r="60" spans="1:14" ht="13" x14ac:dyDescent="0.15">
      <c r="A60" s="5"/>
      <c r="B60" s="4"/>
      <c r="C60" s="4"/>
      <c r="D60" s="5"/>
      <c r="L60" s="4"/>
      <c r="M60" s="4"/>
      <c r="N60" s="4"/>
    </row>
    <row r="61" spans="1:14" ht="13" x14ac:dyDescent="0.15">
      <c r="A61" s="5"/>
      <c r="B61" s="4"/>
      <c r="C61" s="4"/>
      <c r="D61" s="5"/>
      <c r="L61" s="4"/>
      <c r="M61" s="4"/>
      <c r="N61" s="4"/>
    </row>
    <row r="62" spans="1:14" ht="13" x14ac:dyDescent="0.15">
      <c r="A62" s="5"/>
      <c r="B62" s="4"/>
      <c r="C62" s="4"/>
      <c r="D62" s="5"/>
      <c r="L62" s="4"/>
      <c r="M62" s="4"/>
      <c r="N62" s="4"/>
    </row>
    <row r="63" spans="1:14" ht="13" x14ac:dyDescent="0.15">
      <c r="A63" s="5"/>
      <c r="B63" s="4"/>
      <c r="C63" s="4"/>
      <c r="D63" s="5"/>
      <c r="L63" s="4"/>
      <c r="M63" s="4"/>
      <c r="N63" s="4"/>
    </row>
    <row r="64" spans="1:14" ht="13" x14ac:dyDescent="0.15">
      <c r="A64" s="5"/>
      <c r="B64" s="4"/>
      <c r="C64" s="4"/>
      <c r="D64" s="5"/>
      <c r="L64" s="4"/>
      <c r="M64" s="4"/>
      <c r="N64" s="4"/>
    </row>
    <row r="65" spans="1:14" ht="13" x14ac:dyDescent="0.15">
      <c r="A65" s="5"/>
      <c r="B65" s="4"/>
      <c r="C65" s="4"/>
      <c r="D65" s="5"/>
      <c r="L65" s="4"/>
      <c r="M65" s="4"/>
      <c r="N65" s="4"/>
    </row>
    <row r="66" spans="1:14" ht="13" x14ac:dyDescent="0.15">
      <c r="A66" s="5"/>
      <c r="B66" s="4"/>
      <c r="C66" s="4"/>
      <c r="D66" s="5"/>
      <c r="L66" s="4"/>
      <c r="M66" s="4"/>
      <c r="N66" s="4"/>
    </row>
    <row r="67" spans="1:14" ht="13" x14ac:dyDescent="0.15">
      <c r="A67" s="5"/>
      <c r="B67" s="4"/>
      <c r="C67" s="4"/>
      <c r="D67" s="5"/>
      <c r="L67" s="4"/>
      <c r="M67" s="4"/>
      <c r="N67" s="4"/>
    </row>
    <row r="68" spans="1:14" ht="13" x14ac:dyDescent="0.15">
      <c r="B68" s="25"/>
      <c r="C68" s="25"/>
      <c r="L68" s="4"/>
      <c r="M68" s="4"/>
      <c r="N68" s="4"/>
    </row>
    <row r="69" spans="1:14" ht="13" x14ac:dyDescent="0.15">
      <c r="L69" s="4"/>
      <c r="M69" s="4"/>
      <c r="N69" s="4"/>
    </row>
    <row r="70" spans="1:14" ht="13" x14ac:dyDescent="0.15">
      <c r="L70" s="4"/>
      <c r="M70" s="4"/>
      <c r="N70" s="4"/>
    </row>
    <row r="71" spans="1:14" ht="13" x14ac:dyDescent="0.15">
      <c r="L71" s="4"/>
      <c r="M71" s="4"/>
      <c r="N71" s="4"/>
    </row>
    <row r="72" spans="1:14" ht="13" x14ac:dyDescent="0.15">
      <c r="L72" s="4"/>
      <c r="M72" s="4"/>
      <c r="N72" s="4"/>
    </row>
    <row r="73" spans="1:14" ht="13" x14ac:dyDescent="0.15">
      <c r="L73" s="4"/>
      <c r="M73" s="4"/>
      <c r="N73" s="4"/>
    </row>
    <row r="74" spans="1:14" ht="13" x14ac:dyDescent="0.15">
      <c r="L74" s="4"/>
      <c r="M74" s="4"/>
      <c r="N74" s="4"/>
    </row>
    <row r="75" spans="1:14" ht="13" x14ac:dyDescent="0.15">
      <c r="L75" s="4"/>
      <c r="M75" s="4"/>
      <c r="N75" s="4"/>
    </row>
    <row r="76" spans="1:14" ht="13" x14ac:dyDescent="0.15">
      <c r="L76" s="4"/>
      <c r="M76" s="4"/>
      <c r="N76" s="4"/>
    </row>
    <row r="77" spans="1:14" ht="13" x14ac:dyDescent="0.15">
      <c r="L77" s="4"/>
      <c r="M77" s="4"/>
      <c r="N77" s="4"/>
    </row>
    <row r="78" spans="1:14" ht="13" x14ac:dyDescent="0.15">
      <c r="L78" s="4"/>
      <c r="M78" s="4"/>
      <c r="N78" s="4"/>
    </row>
    <row r="79" spans="1:14" ht="13" x14ac:dyDescent="0.15">
      <c r="L79" s="4"/>
      <c r="M79" s="4"/>
      <c r="N79" s="4"/>
    </row>
    <row r="80" spans="1:14" ht="13" x14ac:dyDescent="0.15">
      <c r="L80" s="4"/>
      <c r="M80" s="4"/>
      <c r="N80" s="4"/>
    </row>
    <row r="81" spans="12:14" ht="13" x14ac:dyDescent="0.15">
      <c r="L81" s="4"/>
      <c r="M81" s="4"/>
      <c r="N81" s="4"/>
    </row>
    <row r="82" spans="12:14" ht="13" x14ac:dyDescent="0.15">
      <c r="L82" s="4"/>
      <c r="M82" s="4"/>
      <c r="N82" s="4"/>
    </row>
    <row r="83" spans="12:14" ht="13" x14ac:dyDescent="0.15">
      <c r="L83" s="4"/>
      <c r="M83" s="4"/>
      <c r="N83" s="4"/>
    </row>
    <row r="84" spans="12:14" ht="13" x14ac:dyDescent="0.15">
      <c r="L84" s="4"/>
      <c r="M84" s="4"/>
      <c r="N84" s="4"/>
    </row>
    <row r="85" spans="12:14" ht="13" x14ac:dyDescent="0.15">
      <c r="L85" s="4"/>
      <c r="M85" s="4"/>
      <c r="N85" s="4"/>
    </row>
    <row r="86" spans="12:14" ht="13" x14ac:dyDescent="0.15">
      <c r="L86" s="4"/>
      <c r="M86" s="4"/>
      <c r="N86" s="4"/>
    </row>
    <row r="87" spans="12:14" ht="13" x14ac:dyDescent="0.15">
      <c r="L87" s="4"/>
      <c r="M87" s="4"/>
      <c r="N87" s="4"/>
    </row>
    <row r="88" spans="12:14" ht="13" x14ac:dyDescent="0.15">
      <c r="L88" s="4"/>
      <c r="M88" s="4"/>
      <c r="N88" s="4"/>
    </row>
    <row r="89" spans="12:14" ht="13" x14ac:dyDescent="0.15">
      <c r="L89" s="4"/>
      <c r="M89" s="4"/>
      <c r="N89" s="4"/>
    </row>
    <row r="90" spans="12:14" ht="13" x14ac:dyDescent="0.15">
      <c r="L90" s="4"/>
      <c r="M90" s="4"/>
      <c r="N90" s="4"/>
    </row>
    <row r="91" spans="12:14" ht="13" x14ac:dyDescent="0.15">
      <c r="L91" s="4"/>
      <c r="M91" s="4"/>
      <c r="N91" s="4"/>
    </row>
    <row r="92" spans="12:14" ht="13" x14ac:dyDescent="0.15">
      <c r="L92" s="4"/>
      <c r="M92" s="4"/>
      <c r="N92" s="4"/>
    </row>
    <row r="93" spans="12:14" ht="13" x14ac:dyDescent="0.15">
      <c r="L93" s="4"/>
      <c r="M93" s="4"/>
      <c r="N93" s="4"/>
    </row>
    <row r="94" spans="12:14" ht="13" x14ac:dyDescent="0.15">
      <c r="L94" s="4"/>
      <c r="M94" s="4"/>
      <c r="N94" s="4"/>
    </row>
    <row r="95" spans="12:14" ht="13" x14ac:dyDescent="0.15">
      <c r="L95" s="4"/>
      <c r="M95" s="4"/>
      <c r="N95" s="4"/>
    </row>
    <row r="96" spans="12:14" ht="13" x14ac:dyDescent="0.15">
      <c r="L96" s="4"/>
      <c r="M96" s="4"/>
      <c r="N96" s="4"/>
    </row>
    <row r="97" spans="12:14" ht="13" x14ac:dyDescent="0.15">
      <c r="L97" s="4"/>
      <c r="M97" s="4"/>
      <c r="N97" s="4"/>
    </row>
    <row r="98" spans="12:14" ht="13" x14ac:dyDescent="0.15">
      <c r="L98" s="4"/>
      <c r="M98" s="4"/>
      <c r="N98" s="4"/>
    </row>
    <row r="99" spans="12:14" ht="13" x14ac:dyDescent="0.15">
      <c r="L99" s="4"/>
      <c r="M99" s="4"/>
      <c r="N99" s="4"/>
    </row>
    <row r="100" spans="12:14" ht="13" x14ac:dyDescent="0.15">
      <c r="L100" s="4"/>
      <c r="M100" s="4"/>
      <c r="N100" s="4"/>
    </row>
    <row r="101" spans="12:14" ht="13" x14ac:dyDescent="0.15">
      <c r="L101" s="4"/>
      <c r="M101" s="4"/>
      <c r="N101" s="4"/>
    </row>
    <row r="102" spans="12:14" ht="13" x14ac:dyDescent="0.15">
      <c r="L102" s="4"/>
      <c r="M102" s="4"/>
      <c r="N102" s="4"/>
    </row>
    <row r="103" spans="12:14" ht="13" x14ac:dyDescent="0.15">
      <c r="L103" s="4"/>
      <c r="M103" s="4"/>
      <c r="N103" s="4"/>
    </row>
    <row r="104" spans="12:14" ht="13" x14ac:dyDescent="0.15">
      <c r="L104" s="4"/>
      <c r="M104" s="4"/>
      <c r="N104" s="4"/>
    </row>
    <row r="105" spans="12:14" ht="13" x14ac:dyDescent="0.15">
      <c r="L105" s="4"/>
      <c r="M105" s="4"/>
      <c r="N105" s="4"/>
    </row>
    <row r="106" spans="12:14" ht="13" x14ac:dyDescent="0.15">
      <c r="L106" s="4"/>
      <c r="M106" s="4"/>
      <c r="N106" s="4"/>
    </row>
    <row r="107" spans="12:14" ht="13" x14ac:dyDescent="0.15">
      <c r="L107" s="4"/>
      <c r="M107" s="4"/>
      <c r="N107" s="4"/>
    </row>
    <row r="108" spans="12:14" ht="13" x14ac:dyDescent="0.15">
      <c r="L108" s="4"/>
      <c r="M108" s="4"/>
      <c r="N108" s="4"/>
    </row>
    <row r="109" spans="12:14" ht="13" x14ac:dyDescent="0.15">
      <c r="L109" s="4"/>
      <c r="M109" s="4"/>
      <c r="N109" s="4"/>
    </row>
    <row r="110" spans="12:14" ht="13" x14ac:dyDescent="0.15">
      <c r="L110" s="4"/>
      <c r="M110" s="4"/>
      <c r="N110" s="4"/>
    </row>
    <row r="111" spans="12:14" ht="13" x14ac:dyDescent="0.15">
      <c r="L111" s="4"/>
      <c r="M111" s="4"/>
      <c r="N111" s="4"/>
    </row>
    <row r="112" spans="12:14" ht="13" x14ac:dyDescent="0.15">
      <c r="L112" s="4"/>
      <c r="M112" s="4"/>
      <c r="N112" s="4"/>
    </row>
    <row r="113" spans="12:14" ht="13" x14ac:dyDescent="0.15">
      <c r="L113" s="4"/>
      <c r="M113" s="4"/>
      <c r="N113" s="4"/>
    </row>
    <row r="114" spans="12:14" ht="13" x14ac:dyDescent="0.15">
      <c r="L114" s="4"/>
      <c r="M114" s="4"/>
      <c r="N114" s="4"/>
    </row>
    <row r="115" spans="12:14" ht="13" x14ac:dyDescent="0.15">
      <c r="L115" s="4"/>
      <c r="M115" s="4"/>
      <c r="N115" s="4"/>
    </row>
    <row r="116" spans="12:14" ht="13" x14ac:dyDescent="0.15">
      <c r="L116" s="4"/>
      <c r="M116" s="4"/>
      <c r="N116" s="4"/>
    </row>
    <row r="117" spans="12:14" ht="13" x14ac:dyDescent="0.15">
      <c r="L117" s="4"/>
      <c r="M117" s="4"/>
      <c r="N117" s="4"/>
    </row>
    <row r="118" spans="12:14" ht="13" x14ac:dyDescent="0.15">
      <c r="L118" s="4"/>
      <c r="M118" s="4"/>
      <c r="N118" s="4"/>
    </row>
    <row r="119" spans="12:14" ht="13" x14ac:dyDescent="0.15">
      <c r="L119" s="4"/>
      <c r="M119" s="4"/>
      <c r="N119" s="4"/>
    </row>
    <row r="120" spans="12:14" ht="13" x14ac:dyDescent="0.15">
      <c r="L120" s="4"/>
      <c r="M120" s="4"/>
      <c r="N120" s="4"/>
    </row>
    <row r="121" spans="12:14" ht="13" x14ac:dyDescent="0.15">
      <c r="L121" s="4"/>
      <c r="M121" s="4"/>
      <c r="N121" s="4"/>
    </row>
    <row r="122" spans="12:14" ht="13" x14ac:dyDescent="0.15">
      <c r="L122" s="4"/>
      <c r="M122" s="4"/>
      <c r="N122" s="4"/>
    </row>
    <row r="123" spans="12:14" ht="13" x14ac:dyDescent="0.15">
      <c r="L123" s="4"/>
      <c r="M123" s="4"/>
      <c r="N123" s="4"/>
    </row>
    <row r="124" spans="12:14" ht="13" x14ac:dyDescent="0.15">
      <c r="L124" s="4"/>
      <c r="M124" s="4"/>
      <c r="N124" s="4"/>
    </row>
    <row r="125" spans="12:14" ht="13" x14ac:dyDescent="0.15">
      <c r="L125" s="4"/>
      <c r="M125" s="4"/>
      <c r="N125" s="4"/>
    </row>
    <row r="126" spans="12:14" ht="13" x14ac:dyDescent="0.15">
      <c r="L126" s="4"/>
      <c r="M126" s="4"/>
      <c r="N126" s="4"/>
    </row>
    <row r="127" spans="12:14" ht="13" x14ac:dyDescent="0.15">
      <c r="L127" s="4"/>
      <c r="M127" s="4"/>
      <c r="N127" s="4"/>
    </row>
    <row r="128" spans="12:14" ht="13" x14ac:dyDescent="0.15">
      <c r="L128" s="4"/>
      <c r="M128" s="4"/>
      <c r="N128" s="4"/>
    </row>
    <row r="129" spans="12:14" ht="13" x14ac:dyDescent="0.15">
      <c r="L129" s="4"/>
      <c r="M129" s="4"/>
      <c r="N129" s="4"/>
    </row>
    <row r="130" spans="12:14" ht="13" x14ac:dyDescent="0.15">
      <c r="L130" s="4"/>
      <c r="M130" s="4"/>
      <c r="N130" s="4"/>
    </row>
    <row r="131" spans="12:14" ht="13" x14ac:dyDescent="0.15">
      <c r="L131" s="4"/>
      <c r="M131" s="4"/>
      <c r="N131" s="4"/>
    </row>
    <row r="132" spans="12:14" ht="13" x14ac:dyDescent="0.15">
      <c r="L132" s="4"/>
      <c r="M132" s="4"/>
      <c r="N132" s="4"/>
    </row>
    <row r="133" spans="12:14" ht="13" x14ac:dyDescent="0.15">
      <c r="L133" s="4"/>
      <c r="M133" s="4"/>
      <c r="N133" s="4"/>
    </row>
    <row r="134" spans="12:14" ht="13" x14ac:dyDescent="0.15">
      <c r="L134" s="4"/>
      <c r="M134" s="4"/>
      <c r="N134" s="4"/>
    </row>
    <row r="135" spans="12:14" ht="13" x14ac:dyDescent="0.15">
      <c r="L135" s="4"/>
      <c r="M135" s="4"/>
      <c r="N135" s="4"/>
    </row>
    <row r="136" spans="12:14" ht="13" x14ac:dyDescent="0.15">
      <c r="L136" s="4"/>
      <c r="M136" s="4"/>
      <c r="N136" s="4"/>
    </row>
    <row r="137" spans="12:14" ht="13" x14ac:dyDescent="0.15">
      <c r="L137" s="4"/>
      <c r="M137" s="4"/>
      <c r="N137" s="4"/>
    </row>
    <row r="138" spans="12:14" ht="13" x14ac:dyDescent="0.15">
      <c r="L138" s="4"/>
      <c r="M138" s="4"/>
      <c r="N138" s="4"/>
    </row>
    <row r="139" spans="12:14" ht="13" x14ac:dyDescent="0.15">
      <c r="L139" s="4"/>
      <c r="M139" s="4"/>
      <c r="N139" s="4"/>
    </row>
    <row r="140" spans="12:14" ht="13" x14ac:dyDescent="0.15">
      <c r="L140" s="4"/>
      <c r="M140" s="4"/>
      <c r="N140" s="4"/>
    </row>
    <row r="141" spans="12:14" ht="13" x14ac:dyDescent="0.15">
      <c r="L141" s="4"/>
      <c r="M141" s="4"/>
      <c r="N141" s="4"/>
    </row>
    <row r="142" spans="12:14" ht="13" x14ac:dyDescent="0.15">
      <c r="L142" s="4"/>
      <c r="M142" s="4"/>
      <c r="N142" s="4"/>
    </row>
    <row r="143" spans="12:14" ht="13" x14ac:dyDescent="0.15">
      <c r="L143" s="4"/>
      <c r="M143" s="4"/>
      <c r="N143" s="4"/>
    </row>
    <row r="144" spans="12:14" ht="13" x14ac:dyDescent="0.15">
      <c r="L144" s="4"/>
      <c r="M144" s="4"/>
      <c r="N144" s="4"/>
    </row>
    <row r="145" spans="12:14" ht="13" x14ac:dyDescent="0.15">
      <c r="L145" s="4"/>
      <c r="M145" s="4"/>
      <c r="N145" s="4"/>
    </row>
    <row r="146" spans="12:14" ht="13" x14ac:dyDescent="0.15">
      <c r="L146" s="4"/>
      <c r="M146" s="4"/>
      <c r="N146" s="4"/>
    </row>
    <row r="147" spans="12:14" ht="13" x14ac:dyDescent="0.15">
      <c r="L147" s="4"/>
      <c r="M147" s="4"/>
      <c r="N147" s="4"/>
    </row>
    <row r="148" spans="12:14" ht="13" x14ac:dyDescent="0.15">
      <c r="L148" s="4"/>
      <c r="M148" s="4"/>
      <c r="N148" s="4"/>
    </row>
    <row r="149" spans="12:14" ht="13" x14ac:dyDescent="0.15">
      <c r="L149" s="4"/>
      <c r="M149" s="4"/>
      <c r="N149" s="4"/>
    </row>
    <row r="150" spans="12:14" ht="13" x14ac:dyDescent="0.15">
      <c r="L150" s="4"/>
      <c r="M150" s="4"/>
      <c r="N150" s="4"/>
    </row>
    <row r="151" spans="12:14" ht="13" x14ac:dyDescent="0.15">
      <c r="L151" s="4"/>
      <c r="M151" s="4"/>
      <c r="N151" s="4"/>
    </row>
    <row r="152" spans="12:14" ht="13" x14ac:dyDescent="0.15">
      <c r="L152" s="4"/>
      <c r="M152" s="4"/>
      <c r="N152" s="4"/>
    </row>
    <row r="153" spans="12:14" ht="13" x14ac:dyDescent="0.15">
      <c r="L153" s="4"/>
      <c r="M153" s="4"/>
      <c r="N153" s="4"/>
    </row>
    <row r="154" spans="12:14" ht="13" x14ac:dyDescent="0.15">
      <c r="L154" s="4"/>
      <c r="M154" s="4"/>
      <c r="N154" s="4"/>
    </row>
    <row r="155" spans="12:14" ht="13" x14ac:dyDescent="0.15">
      <c r="L155" s="4"/>
      <c r="M155" s="4"/>
      <c r="N155" s="4"/>
    </row>
    <row r="156" spans="12:14" ht="13" x14ac:dyDescent="0.15">
      <c r="L156" s="4"/>
      <c r="M156" s="4"/>
      <c r="N156" s="4"/>
    </row>
    <row r="157" spans="12:14" ht="13" x14ac:dyDescent="0.15">
      <c r="L157" s="4"/>
      <c r="M157" s="4"/>
      <c r="N157" s="4"/>
    </row>
    <row r="158" spans="12:14" ht="13" x14ac:dyDescent="0.15">
      <c r="L158" s="4"/>
      <c r="M158" s="4"/>
      <c r="N158" s="4"/>
    </row>
    <row r="159" spans="12:14" ht="13" x14ac:dyDescent="0.15">
      <c r="L159" s="4"/>
      <c r="M159" s="4"/>
      <c r="N159" s="4"/>
    </row>
    <row r="160" spans="12:14" ht="13" x14ac:dyDescent="0.15">
      <c r="L160" s="4"/>
      <c r="M160" s="4"/>
      <c r="N160" s="4"/>
    </row>
    <row r="161" spans="12:14" ht="13" x14ac:dyDescent="0.15">
      <c r="L161" s="4"/>
      <c r="M161" s="4"/>
      <c r="N161" s="4"/>
    </row>
    <row r="162" spans="12:14" ht="13" x14ac:dyDescent="0.15">
      <c r="L162" s="4"/>
      <c r="M162" s="4"/>
      <c r="N162" s="4"/>
    </row>
    <row r="163" spans="12:14" ht="13" x14ac:dyDescent="0.15">
      <c r="L163" s="4"/>
      <c r="M163" s="4"/>
      <c r="N163" s="4"/>
    </row>
    <row r="164" spans="12:14" ht="13" x14ac:dyDescent="0.15">
      <c r="L164" s="4"/>
      <c r="M164" s="4"/>
      <c r="N164" s="4"/>
    </row>
    <row r="165" spans="12:14" ht="13" x14ac:dyDescent="0.15">
      <c r="L165" s="4"/>
      <c r="M165" s="4"/>
      <c r="N165" s="4"/>
    </row>
    <row r="166" spans="12:14" ht="13" x14ac:dyDescent="0.15">
      <c r="L166" s="4"/>
      <c r="M166" s="4"/>
      <c r="N166" s="4"/>
    </row>
    <row r="167" spans="12:14" ht="13" x14ac:dyDescent="0.15">
      <c r="L167" s="4"/>
      <c r="M167" s="4"/>
      <c r="N167" s="4"/>
    </row>
    <row r="168" spans="12:14" ht="13" x14ac:dyDescent="0.15">
      <c r="L168" s="4"/>
      <c r="M168" s="4"/>
      <c r="N168" s="4"/>
    </row>
    <row r="169" spans="12:14" ht="13" x14ac:dyDescent="0.15">
      <c r="L169" s="4"/>
      <c r="M169" s="4"/>
      <c r="N169" s="4"/>
    </row>
    <row r="170" spans="12:14" ht="13" x14ac:dyDescent="0.15">
      <c r="L170" s="4"/>
      <c r="M170" s="4"/>
      <c r="N170" s="4"/>
    </row>
    <row r="171" spans="12:14" ht="13" x14ac:dyDescent="0.15">
      <c r="L171" s="4"/>
      <c r="M171" s="4"/>
      <c r="N171" s="4"/>
    </row>
    <row r="172" spans="12:14" ht="13" x14ac:dyDescent="0.15">
      <c r="L172" s="4"/>
      <c r="M172" s="4"/>
      <c r="N172" s="4"/>
    </row>
    <row r="173" spans="12:14" ht="13" x14ac:dyDescent="0.15">
      <c r="L173" s="4"/>
      <c r="M173" s="4"/>
      <c r="N173" s="4"/>
    </row>
    <row r="174" spans="12:14" ht="13" x14ac:dyDescent="0.15">
      <c r="L174" s="4"/>
      <c r="M174" s="4"/>
      <c r="N174" s="4"/>
    </row>
    <row r="175" spans="12:14" ht="13" x14ac:dyDescent="0.15">
      <c r="L175" s="4"/>
      <c r="M175" s="4"/>
      <c r="N175" s="4"/>
    </row>
    <row r="176" spans="12:14" ht="13" x14ac:dyDescent="0.15">
      <c r="L176" s="4"/>
      <c r="M176" s="4"/>
      <c r="N176" s="4"/>
    </row>
    <row r="177" spans="12:14" ht="13" x14ac:dyDescent="0.15">
      <c r="L177" s="4"/>
      <c r="M177" s="4"/>
      <c r="N177" s="4"/>
    </row>
    <row r="178" spans="12:14" ht="13" x14ac:dyDescent="0.15">
      <c r="L178" s="4"/>
      <c r="M178" s="4"/>
      <c r="N178" s="4"/>
    </row>
    <row r="179" spans="12:14" ht="13" x14ac:dyDescent="0.15">
      <c r="L179" s="4"/>
      <c r="M179" s="4"/>
      <c r="N179" s="4"/>
    </row>
    <row r="180" spans="12:14" ht="13" x14ac:dyDescent="0.15">
      <c r="L180" s="4"/>
      <c r="M180" s="4"/>
      <c r="N180" s="4"/>
    </row>
    <row r="181" spans="12:14" ht="13" x14ac:dyDescent="0.15">
      <c r="L181" s="4"/>
      <c r="M181" s="4"/>
      <c r="N181" s="4"/>
    </row>
    <row r="182" spans="12:14" ht="13" x14ac:dyDescent="0.15">
      <c r="L182" s="4"/>
      <c r="M182" s="4"/>
      <c r="N182" s="4"/>
    </row>
    <row r="183" spans="12:14" ht="13" x14ac:dyDescent="0.15">
      <c r="L183" s="4"/>
      <c r="M183" s="4"/>
      <c r="N183" s="4"/>
    </row>
    <row r="184" spans="12:14" ht="13" x14ac:dyDescent="0.15">
      <c r="L184" s="4"/>
      <c r="M184" s="4"/>
      <c r="N184" s="4"/>
    </row>
    <row r="185" spans="12:14" ht="13" x14ac:dyDescent="0.15">
      <c r="L185" s="4"/>
      <c r="M185" s="4"/>
      <c r="N185" s="4"/>
    </row>
    <row r="186" spans="12:14" ht="13" x14ac:dyDescent="0.15">
      <c r="L186" s="4"/>
      <c r="M186" s="4"/>
      <c r="N186" s="4"/>
    </row>
    <row r="187" spans="12:14" ht="13" x14ac:dyDescent="0.15">
      <c r="L187" s="4"/>
      <c r="M187" s="4"/>
      <c r="N187" s="4"/>
    </row>
    <row r="188" spans="12:14" ht="13" x14ac:dyDescent="0.15">
      <c r="L188" s="4"/>
      <c r="M188" s="4"/>
      <c r="N188" s="4"/>
    </row>
    <row r="189" spans="12:14" ht="13" x14ac:dyDescent="0.15">
      <c r="L189" s="4"/>
      <c r="M189" s="4"/>
      <c r="N189" s="4"/>
    </row>
    <row r="190" spans="12:14" ht="13" x14ac:dyDescent="0.15">
      <c r="L190" s="4"/>
      <c r="M190" s="4"/>
      <c r="N190" s="4"/>
    </row>
    <row r="191" spans="12:14" ht="13" x14ac:dyDescent="0.15">
      <c r="L191" s="4"/>
      <c r="M191" s="4"/>
      <c r="N191" s="4"/>
    </row>
    <row r="192" spans="12:14" ht="13" x14ac:dyDescent="0.15">
      <c r="L192" s="4"/>
      <c r="M192" s="4"/>
      <c r="N192" s="4"/>
    </row>
    <row r="193" spans="12:14" ht="13" x14ac:dyDescent="0.15">
      <c r="L193" s="4"/>
      <c r="M193" s="4"/>
      <c r="N193" s="4"/>
    </row>
    <row r="194" spans="12:14" ht="13" x14ac:dyDescent="0.15">
      <c r="L194" s="4"/>
      <c r="M194" s="4"/>
      <c r="N194" s="4"/>
    </row>
    <row r="195" spans="12:14" ht="13" x14ac:dyDescent="0.15">
      <c r="L195" s="4"/>
      <c r="M195" s="4"/>
      <c r="N195" s="4"/>
    </row>
    <row r="196" spans="12:14" ht="13" x14ac:dyDescent="0.15">
      <c r="L196" s="4"/>
      <c r="M196" s="4"/>
      <c r="N196" s="4"/>
    </row>
    <row r="197" spans="12:14" ht="13" x14ac:dyDescent="0.15">
      <c r="L197" s="4"/>
      <c r="M197" s="4"/>
      <c r="N197" s="4"/>
    </row>
    <row r="198" spans="12:14" ht="13" x14ac:dyDescent="0.15">
      <c r="L198" s="4"/>
      <c r="M198" s="4"/>
      <c r="N198" s="4"/>
    </row>
    <row r="199" spans="12:14" ht="13" x14ac:dyDescent="0.15">
      <c r="L199" s="4"/>
      <c r="M199" s="4"/>
      <c r="N199" s="4"/>
    </row>
    <row r="200" spans="12:14" ht="13" x14ac:dyDescent="0.15">
      <c r="L200" s="4"/>
      <c r="M200" s="4"/>
      <c r="N200" s="4"/>
    </row>
    <row r="201" spans="12:14" ht="13" x14ac:dyDescent="0.15">
      <c r="L201" s="4"/>
      <c r="M201" s="4"/>
      <c r="N201" s="4"/>
    </row>
    <row r="202" spans="12:14" ht="13" x14ac:dyDescent="0.15">
      <c r="L202" s="4"/>
      <c r="M202" s="4"/>
      <c r="N202" s="4"/>
    </row>
    <row r="203" spans="12:14" ht="13" x14ac:dyDescent="0.15">
      <c r="L203" s="4"/>
      <c r="M203" s="4"/>
      <c r="N203" s="4"/>
    </row>
    <row r="204" spans="12:14" ht="13" x14ac:dyDescent="0.15">
      <c r="L204" s="4"/>
      <c r="M204" s="4"/>
      <c r="N204" s="4"/>
    </row>
    <row r="205" spans="12:14" ht="13" x14ac:dyDescent="0.15">
      <c r="L205" s="4"/>
      <c r="M205" s="4"/>
      <c r="N205" s="4"/>
    </row>
    <row r="206" spans="12:14" ht="13" x14ac:dyDescent="0.15">
      <c r="L206" s="4"/>
      <c r="M206" s="4"/>
      <c r="N206" s="4"/>
    </row>
    <row r="207" spans="12:14" ht="13" x14ac:dyDescent="0.15">
      <c r="L207" s="4"/>
      <c r="M207" s="4"/>
      <c r="N207" s="4"/>
    </row>
    <row r="208" spans="12:14" ht="13" x14ac:dyDescent="0.15">
      <c r="L208" s="4"/>
      <c r="M208" s="4"/>
      <c r="N208" s="4"/>
    </row>
    <row r="209" spans="12:14" ht="13" x14ac:dyDescent="0.15">
      <c r="L209" s="4"/>
      <c r="M209" s="4"/>
      <c r="N209" s="4"/>
    </row>
    <row r="210" spans="12:14" ht="13" x14ac:dyDescent="0.15">
      <c r="L210" s="4"/>
      <c r="M210" s="4"/>
      <c r="N210" s="4"/>
    </row>
    <row r="211" spans="12:14" ht="13" x14ac:dyDescent="0.15">
      <c r="L211" s="4"/>
      <c r="M211" s="4"/>
      <c r="N211" s="4"/>
    </row>
    <row r="212" spans="12:14" ht="13" x14ac:dyDescent="0.15">
      <c r="L212" s="4"/>
      <c r="M212" s="4"/>
      <c r="N212" s="4"/>
    </row>
    <row r="213" spans="12:14" ht="13" x14ac:dyDescent="0.15">
      <c r="L213" s="4"/>
      <c r="M213" s="4"/>
      <c r="N213" s="4"/>
    </row>
    <row r="214" spans="12:14" ht="13" x14ac:dyDescent="0.15">
      <c r="L214" s="4"/>
      <c r="M214" s="4"/>
      <c r="N214" s="4"/>
    </row>
    <row r="215" spans="12:14" ht="13" x14ac:dyDescent="0.15">
      <c r="L215" s="4"/>
      <c r="M215" s="4"/>
      <c r="N215" s="4"/>
    </row>
    <row r="216" spans="12:14" ht="13" x14ac:dyDescent="0.15">
      <c r="L216" s="4"/>
      <c r="M216" s="4"/>
      <c r="N216" s="4"/>
    </row>
    <row r="217" spans="12:14" ht="13" x14ac:dyDescent="0.15">
      <c r="L217" s="4"/>
      <c r="M217" s="4"/>
      <c r="N217" s="4"/>
    </row>
    <row r="218" spans="12:14" ht="13" x14ac:dyDescent="0.15">
      <c r="L218" s="4"/>
      <c r="M218" s="4"/>
      <c r="N218" s="4"/>
    </row>
    <row r="219" spans="12:14" ht="13" x14ac:dyDescent="0.15">
      <c r="L219" s="4"/>
      <c r="M219" s="4"/>
      <c r="N219" s="4"/>
    </row>
    <row r="220" spans="12:14" ht="13" x14ac:dyDescent="0.15">
      <c r="L220" s="4"/>
      <c r="M220" s="4"/>
      <c r="N220" s="4"/>
    </row>
    <row r="221" spans="12:14" ht="13" x14ac:dyDescent="0.15">
      <c r="L221" s="4"/>
      <c r="M221" s="4"/>
      <c r="N221" s="4"/>
    </row>
    <row r="222" spans="12:14" ht="13" x14ac:dyDescent="0.15">
      <c r="L222" s="4"/>
      <c r="M222" s="4"/>
      <c r="N222" s="4"/>
    </row>
    <row r="223" spans="12:14" ht="13" x14ac:dyDescent="0.15">
      <c r="L223" s="4"/>
      <c r="M223" s="4"/>
      <c r="N223" s="4"/>
    </row>
    <row r="224" spans="12:14" ht="13" x14ac:dyDescent="0.15">
      <c r="L224" s="4"/>
      <c r="M224" s="4"/>
      <c r="N224" s="4"/>
    </row>
    <row r="225" spans="12:14" ht="13" x14ac:dyDescent="0.15">
      <c r="L225" s="4"/>
      <c r="M225" s="4"/>
      <c r="N225" s="4"/>
    </row>
    <row r="226" spans="12:14" ht="13" x14ac:dyDescent="0.15">
      <c r="L226" s="4"/>
      <c r="M226" s="4"/>
      <c r="N226" s="4"/>
    </row>
    <row r="227" spans="12:14" ht="13" x14ac:dyDescent="0.15">
      <c r="L227" s="4"/>
      <c r="M227" s="4"/>
      <c r="N227" s="4"/>
    </row>
    <row r="228" spans="12:14" ht="13" x14ac:dyDescent="0.15">
      <c r="L228" s="4"/>
      <c r="M228" s="4"/>
      <c r="N228" s="4"/>
    </row>
    <row r="229" spans="12:14" ht="13" x14ac:dyDescent="0.15">
      <c r="L229" s="4"/>
      <c r="M229" s="4"/>
      <c r="N229" s="4"/>
    </row>
    <row r="230" spans="12:14" ht="13" x14ac:dyDescent="0.15">
      <c r="L230" s="4"/>
      <c r="M230" s="4"/>
      <c r="N230" s="4"/>
    </row>
    <row r="231" spans="12:14" ht="13" x14ac:dyDescent="0.15">
      <c r="L231" s="4"/>
      <c r="M231" s="4"/>
      <c r="N231" s="4"/>
    </row>
    <row r="232" spans="12:14" ht="13" x14ac:dyDescent="0.15">
      <c r="L232" s="4"/>
      <c r="M232" s="4"/>
      <c r="N232" s="4"/>
    </row>
    <row r="233" spans="12:14" ht="13" x14ac:dyDescent="0.15">
      <c r="L233" s="4"/>
      <c r="M233" s="4"/>
      <c r="N233" s="4"/>
    </row>
    <row r="234" spans="12:14" ht="13" x14ac:dyDescent="0.15">
      <c r="L234" s="4"/>
      <c r="M234" s="4"/>
      <c r="N234" s="4"/>
    </row>
    <row r="235" spans="12:14" ht="13" x14ac:dyDescent="0.15">
      <c r="L235" s="4"/>
      <c r="M235" s="4"/>
      <c r="N235" s="4"/>
    </row>
    <row r="236" spans="12:14" ht="13" x14ac:dyDescent="0.15">
      <c r="L236" s="4"/>
      <c r="M236" s="4"/>
      <c r="N236" s="4"/>
    </row>
    <row r="237" spans="12:14" ht="13" x14ac:dyDescent="0.15">
      <c r="L237" s="4"/>
      <c r="M237" s="4"/>
      <c r="N237" s="4"/>
    </row>
    <row r="238" spans="12:14" ht="13" x14ac:dyDescent="0.15">
      <c r="L238" s="4"/>
      <c r="M238" s="4"/>
      <c r="N238" s="4"/>
    </row>
    <row r="239" spans="12:14" ht="13" x14ac:dyDescent="0.15">
      <c r="L239" s="4"/>
      <c r="M239" s="4"/>
      <c r="N239" s="4"/>
    </row>
    <row r="240" spans="12:14" ht="13" x14ac:dyDescent="0.15">
      <c r="L240" s="4"/>
      <c r="M240" s="4"/>
      <c r="N240" s="4"/>
    </row>
    <row r="241" spans="12:14" ht="13" x14ac:dyDescent="0.15">
      <c r="L241" s="4"/>
      <c r="M241" s="4"/>
      <c r="N241" s="4"/>
    </row>
    <row r="242" spans="12:14" ht="13" x14ac:dyDescent="0.15">
      <c r="L242" s="4"/>
      <c r="M242" s="4"/>
      <c r="N242" s="4"/>
    </row>
    <row r="243" spans="12:14" ht="13" x14ac:dyDescent="0.15">
      <c r="L243" s="4"/>
      <c r="M243" s="4"/>
      <c r="N243" s="4"/>
    </row>
    <row r="244" spans="12:14" ht="13" x14ac:dyDescent="0.15">
      <c r="L244" s="4"/>
      <c r="M244" s="4"/>
      <c r="N244" s="4"/>
    </row>
    <row r="245" spans="12:14" ht="13" x14ac:dyDescent="0.15">
      <c r="L245" s="4"/>
      <c r="M245" s="4"/>
      <c r="N245" s="4"/>
    </row>
    <row r="246" spans="12:14" ht="13" x14ac:dyDescent="0.15">
      <c r="L246" s="4"/>
      <c r="M246" s="4"/>
      <c r="N246" s="4"/>
    </row>
    <row r="247" spans="12:14" ht="13" x14ac:dyDescent="0.15">
      <c r="L247" s="4"/>
      <c r="M247" s="4"/>
      <c r="N247" s="4"/>
    </row>
    <row r="248" spans="12:14" ht="13" x14ac:dyDescent="0.15">
      <c r="L248" s="4"/>
      <c r="M248" s="4"/>
      <c r="N248" s="4"/>
    </row>
    <row r="249" spans="12:14" ht="13" x14ac:dyDescent="0.15">
      <c r="L249" s="4"/>
      <c r="M249" s="4"/>
      <c r="N249" s="4"/>
    </row>
    <row r="250" spans="12:14" ht="13" x14ac:dyDescent="0.15">
      <c r="L250" s="4"/>
      <c r="M250" s="4"/>
      <c r="N250" s="4"/>
    </row>
    <row r="251" spans="12:14" ht="13" x14ac:dyDescent="0.15">
      <c r="L251" s="4"/>
      <c r="M251" s="4"/>
      <c r="N251" s="4"/>
    </row>
    <row r="252" spans="12:14" ht="13" x14ac:dyDescent="0.15">
      <c r="L252" s="4"/>
      <c r="M252" s="4"/>
      <c r="N252" s="4"/>
    </row>
    <row r="253" spans="12:14" ht="13" x14ac:dyDescent="0.15">
      <c r="L253" s="4"/>
      <c r="M253" s="4"/>
      <c r="N253" s="4"/>
    </row>
    <row r="254" spans="12:14" ht="13" x14ac:dyDescent="0.15">
      <c r="L254" s="4"/>
      <c r="M254" s="4"/>
      <c r="N254" s="4"/>
    </row>
    <row r="255" spans="12:14" ht="13" x14ac:dyDescent="0.15">
      <c r="L255" s="4"/>
      <c r="M255" s="4"/>
      <c r="N255" s="4"/>
    </row>
    <row r="256" spans="12:14" ht="13" x14ac:dyDescent="0.15">
      <c r="L256" s="4"/>
      <c r="M256" s="4"/>
      <c r="N256" s="4"/>
    </row>
    <row r="257" spans="12:14" ht="13" x14ac:dyDescent="0.15">
      <c r="L257" s="4"/>
      <c r="M257" s="4"/>
      <c r="N257" s="4"/>
    </row>
    <row r="258" spans="12:14" ht="13" x14ac:dyDescent="0.15">
      <c r="L258" s="4"/>
      <c r="M258" s="4"/>
      <c r="N258" s="4"/>
    </row>
    <row r="259" spans="12:14" ht="13" x14ac:dyDescent="0.15">
      <c r="L259" s="4"/>
      <c r="M259" s="4"/>
      <c r="N259" s="4"/>
    </row>
    <row r="260" spans="12:14" ht="13" x14ac:dyDescent="0.15">
      <c r="L260" s="4"/>
      <c r="M260" s="4"/>
      <c r="N260" s="4"/>
    </row>
    <row r="261" spans="12:14" ht="13" x14ac:dyDescent="0.15">
      <c r="L261" s="4"/>
      <c r="M261" s="4"/>
      <c r="N261" s="4"/>
    </row>
    <row r="262" spans="12:14" ht="13" x14ac:dyDescent="0.15">
      <c r="L262" s="4"/>
      <c r="M262" s="4"/>
      <c r="N262" s="4"/>
    </row>
    <row r="263" spans="12:14" ht="13" x14ac:dyDescent="0.15">
      <c r="L263" s="4"/>
      <c r="M263" s="4"/>
      <c r="N263" s="4"/>
    </row>
    <row r="264" spans="12:14" ht="13" x14ac:dyDescent="0.15">
      <c r="L264" s="4"/>
      <c r="M264" s="4"/>
      <c r="N264" s="4"/>
    </row>
    <row r="265" spans="12:14" ht="13" x14ac:dyDescent="0.15">
      <c r="L265" s="4"/>
      <c r="M265" s="4"/>
      <c r="N265" s="4"/>
    </row>
    <row r="266" spans="12:14" ht="13" x14ac:dyDescent="0.15">
      <c r="L266" s="4"/>
      <c r="M266" s="4"/>
      <c r="N266" s="4"/>
    </row>
    <row r="267" spans="12:14" ht="13" x14ac:dyDescent="0.15">
      <c r="L267" s="4"/>
      <c r="M267" s="4"/>
      <c r="N267" s="4"/>
    </row>
    <row r="268" spans="12:14" ht="13" x14ac:dyDescent="0.15">
      <c r="L268" s="4"/>
      <c r="M268" s="4"/>
      <c r="N268" s="4"/>
    </row>
    <row r="269" spans="12:14" ht="13" x14ac:dyDescent="0.15">
      <c r="L269" s="4"/>
      <c r="M269" s="4"/>
      <c r="N269" s="4"/>
    </row>
    <row r="270" spans="12:14" ht="13" x14ac:dyDescent="0.15">
      <c r="L270" s="4"/>
      <c r="M270" s="4"/>
      <c r="N270" s="4"/>
    </row>
    <row r="271" spans="12:14" ht="13" x14ac:dyDescent="0.15">
      <c r="L271" s="4"/>
      <c r="M271" s="4"/>
      <c r="N271" s="4"/>
    </row>
    <row r="272" spans="12:14" ht="13" x14ac:dyDescent="0.15">
      <c r="L272" s="4"/>
      <c r="M272" s="4"/>
      <c r="N272" s="4"/>
    </row>
    <row r="273" spans="12:14" ht="13" x14ac:dyDescent="0.15">
      <c r="L273" s="4"/>
      <c r="M273" s="4"/>
      <c r="N273" s="4"/>
    </row>
    <row r="274" spans="12:14" ht="13" x14ac:dyDescent="0.15">
      <c r="L274" s="4"/>
      <c r="M274" s="4"/>
      <c r="N274" s="4"/>
    </row>
    <row r="275" spans="12:14" ht="13" x14ac:dyDescent="0.15">
      <c r="L275" s="4"/>
      <c r="M275" s="4"/>
      <c r="N275" s="4"/>
    </row>
    <row r="276" spans="12:14" ht="13" x14ac:dyDescent="0.15">
      <c r="L276" s="4"/>
      <c r="M276" s="4"/>
      <c r="N276" s="4"/>
    </row>
    <row r="277" spans="12:14" ht="13" x14ac:dyDescent="0.15">
      <c r="L277" s="4"/>
      <c r="M277" s="4"/>
      <c r="N277" s="4"/>
    </row>
    <row r="278" spans="12:14" ht="13" x14ac:dyDescent="0.15">
      <c r="L278" s="4"/>
      <c r="M278" s="4"/>
      <c r="N278" s="4"/>
    </row>
    <row r="279" spans="12:14" ht="13" x14ac:dyDescent="0.15">
      <c r="L279" s="4"/>
      <c r="M279" s="4"/>
      <c r="N279" s="4"/>
    </row>
    <row r="280" spans="12:14" ht="13" x14ac:dyDescent="0.15">
      <c r="L280" s="4"/>
      <c r="M280" s="4"/>
      <c r="N280" s="4"/>
    </row>
    <row r="281" spans="12:14" ht="13" x14ac:dyDescent="0.15">
      <c r="L281" s="4"/>
      <c r="M281" s="4"/>
      <c r="N281" s="4"/>
    </row>
    <row r="282" spans="12:14" ht="13" x14ac:dyDescent="0.15">
      <c r="L282" s="4"/>
      <c r="M282" s="4"/>
      <c r="N282" s="4"/>
    </row>
    <row r="283" spans="12:14" ht="13" x14ac:dyDescent="0.15">
      <c r="L283" s="4"/>
      <c r="M283" s="4"/>
      <c r="N283" s="4"/>
    </row>
    <row r="284" spans="12:14" ht="13" x14ac:dyDescent="0.15">
      <c r="L284" s="4"/>
      <c r="M284" s="4"/>
      <c r="N284" s="4"/>
    </row>
    <row r="285" spans="12:14" ht="13" x14ac:dyDescent="0.15">
      <c r="L285" s="4"/>
      <c r="M285" s="4"/>
      <c r="N285" s="4"/>
    </row>
    <row r="286" spans="12:14" ht="13" x14ac:dyDescent="0.15">
      <c r="L286" s="4"/>
      <c r="M286" s="4"/>
      <c r="N286" s="4"/>
    </row>
    <row r="287" spans="12:14" ht="13" x14ac:dyDescent="0.15">
      <c r="L287" s="4"/>
      <c r="M287" s="4"/>
      <c r="N287" s="4"/>
    </row>
    <row r="288" spans="12:14" ht="13" x14ac:dyDescent="0.15">
      <c r="L288" s="4"/>
      <c r="M288" s="4"/>
      <c r="N288" s="4"/>
    </row>
    <row r="289" spans="12:14" ht="13" x14ac:dyDescent="0.15">
      <c r="L289" s="4"/>
      <c r="M289" s="4"/>
      <c r="N289" s="4"/>
    </row>
    <row r="290" spans="12:14" ht="13" x14ac:dyDescent="0.15">
      <c r="L290" s="4"/>
      <c r="M290" s="4"/>
      <c r="N290" s="4"/>
    </row>
    <row r="291" spans="12:14" ht="13" x14ac:dyDescent="0.15">
      <c r="L291" s="4"/>
      <c r="M291" s="4"/>
      <c r="N291" s="4"/>
    </row>
    <row r="292" spans="12:14" ht="13" x14ac:dyDescent="0.15">
      <c r="L292" s="4"/>
      <c r="M292" s="4"/>
      <c r="N292" s="4"/>
    </row>
    <row r="293" spans="12:14" ht="13" x14ac:dyDescent="0.15">
      <c r="L293" s="4"/>
      <c r="M293" s="4"/>
      <c r="N293" s="4"/>
    </row>
    <row r="294" spans="12:14" ht="13" x14ac:dyDescent="0.15">
      <c r="L294" s="4"/>
      <c r="M294" s="4"/>
      <c r="N294" s="4"/>
    </row>
    <row r="295" spans="12:14" ht="13" x14ac:dyDescent="0.15">
      <c r="L295" s="4"/>
      <c r="M295" s="4"/>
      <c r="N295" s="4"/>
    </row>
    <row r="296" spans="12:14" ht="13" x14ac:dyDescent="0.15">
      <c r="L296" s="4"/>
      <c r="M296" s="4"/>
      <c r="N296" s="4"/>
    </row>
    <row r="297" spans="12:14" ht="13" x14ac:dyDescent="0.15">
      <c r="L297" s="4"/>
      <c r="M297" s="4"/>
      <c r="N297" s="4"/>
    </row>
    <row r="298" spans="12:14" ht="13" x14ac:dyDescent="0.15">
      <c r="L298" s="4"/>
      <c r="M298" s="4"/>
      <c r="N298" s="4"/>
    </row>
    <row r="299" spans="12:14" ht="13" x14ac:dyDescent="0.15">
      <c r="L299" s="4"/>
      <c r="M299" s="4"/>
      <c r="N299" s="4"/>
    </row>
    <row r="300" spans="12:14" ht="13" x14ac:dyDescent="0.15">
      <c r="L300" s="4"/>
      <c r="M300" s="4"/>
      <c r="N300" s="4"/>
    </row>
    <row r="301" spans="12:14" ht="13" x14ac:dyDescent="0.15">
      <c r="L301" s="4"/>
      <c r="M301" s="4"/>
      <c r="N301" s="4"/>
    </row>
    <row r="302" spans="12:14" ht="13" x14ac:dyDescent="0.15">
      <c r="L302" s="4"/>
      <c r="M302" s="4"/>
      <c r="N302" s="4"/>
    </row>
    <row r="303" spans="12:14" ht="13" x14ac:dyDescent="0.15">
      <c r="L303" s="4"/>
      <c r="M303" s="4"/>
      <c r="N303" s="4"/>
    </row>
    <row r="304" spans="12:14" ht="13" x14ac:dyDescent="0.15">
      <c r="L304" s="4"/>
      <c r="M304" s="4"/>
      <c r="N304" s="4"/>
    </row>
    <row r="305" spans="12:14" ht="13" x14ac:dyDescent="0.15">
      <c r="L305" s="4"/>
      <c r="M305" s="4"/>
      <c r="N305" s="4"/>
    </row>
    <row r="306" spans="12:14" ht="13" x14ac:dyDescent="0.15">
      <c r="L306" s="4"/>
      <c r="M306" s="4"/>
      <c r="N306" s="4"/>
    </row>
    <row r="307" spans="12:14" ht="13" x14ac:dyDescent="0.15">
      <c r="L307" s="4"/>
      <c r="M307" s="4"/>
      <c r="N307" s="4"/>
    </row>
    <row r="308" spans="12:14" ht="13" x14ac:dyDescent="0.15">
      <c r="L308" s="4"/>
      <c r="M308" s="4"/>
      <c r="N308" s="4"/>
    </row>
    <row r="309" spans="12:14" ht="13" x14ac:dyDescent="0.15">
      <c r="L309" s="4"/>
      <c r="M309" s="4"/>
      <c r="N309" s="4"/>
    </row>
    <row r="310" spans="12:14" ht="13" x14ac:dyDescent="0.15">
      <c r="L310" s="4"/>
      <c r="M310" s="4"/>
      <c r="N310" s="4"/>
    </row>
    <row r="311" spans="12:14" ht="13" x14ac:dyDescent="0.15">
      <c r="L311" s="4"/>
      <c r="M311" s="4"/>
      <c r="N311" s="4"/>
    </row>
    <row r="312" spans="12:14" ht="13" x14ac:dyDescent="0.15">
      <c r="L312" s="4"/>
      <c r="M312" s="4"/>
      <c r="N312" s="4"/>
    </row>
    <row r="313" spans="12:14" ht="13" x14ac:dyDescent="0.15">
      <c r="L313" s="4"/>
      <c r="M313" s="4"/>
      <c r="N313" s="4"/>
    </row>
    <row r="314" spans="12:14" ht="13" x14ac:dyDescent="0.15">
      <c r="L314" s="4"/>
      <c r="M314" s="4"/>
      <c r="N314" s="4"/>
    </row>
    <row r="315" spans="12:14" ht="13" x14ac:dyDescent="0.15">
      <c r="L315" s="4"/>
      <c r="M315" s="4"/>
      <c r="N315" s="4"/>
    </row>
    <row r="316" spans="12:14" ht="13" x14ac:dyDescent="0.15">
      <c r="L316" s="4"/>
      <c r="M316" s="4"/>
      <c r="N316" s="4"/>
    </row>
    <row r="317" spans="12:14" ht="13" x14ac:dyDescent="0.15">
      <c r="L317" s="4"/>
      <c r="M317" s="4"/>
      <c r="N317" s="4"/>
    </row>
    <row r="318" spans="12:14" ht="13" x14ac:dyDescent="0.15">
      <c r="L318" s="4"/>
      <c r="M318" s="4"/>
      <c r="N318" s="4"/>
    </row>
    <row r="319" spans="12:14" ht="13" x14ac:dyDescent="0.15">
      <c r="L319" s="4"/>
      <c r="M319" s="4"/>
      <c r="N319" s="4"/>
    </row>
    <row r="320" spans="12:14" ht="13" x14ac:dyDescent="0.15">
      <c r="L320" s="4"/>
      <c r="M320" s="4"/>
      <c r="N320" s="4"/>
    </row>
    <row r="321" spans="12:14" ht="13" x14ac:dyDescent="0.15">
      <c r="L321" s="4"/>
      <c r="M321" s="4"/>
      <c r="N321" s="4"/>
    </row>
    <row r="322" spans="12:14" ht="13" x14ac:dyDescent="0.15">
      <c r="L322" s="4"/>
      <c r="M322" s="4"/>
      <c r="N322" s="4"/>
    </row>
    <row r="323" spans="12:14" ht="13" x14ac:dyDescent="0.15">
      <c r="L323" s="4"/>
      <c r="M323" s="4"/>
      <c r="N323" s="4"/>
    </row>
    <row r="324" spans="12:14" ht="13" x14ac:dyDescent="0.15">
      <c r="L324" s="4"/>
      <c r="M324" s="4"/>
      <c r="N324" s="4"/>
    </row>
    <row r="325" spans="12:14" ht="13" x14ac:dyDescent="0.15">
      <c r="L325" s="4"/>
      <c r="M325" s="4"/>
      <c r="N325" s="4"/>
    </row>
    <row r="326" spans="12:14" ht="13" x14ac:dyDescent="0.15">
      <c r="L326" s="4"/>
      <c r="M326" s="4"/>
      <c r="N326" s="4"/>
    </row>
    <row r="327" spans="12:14" ht="13" x14ac:dyDescent="0.15">
      <c r="L327" s="4"/>
      <c r="M327" s="4"/>
      <c r="N327" s="4"/>
    </row>
    <row r="328" spans="12:14" ht="13" x14ac:dyDescent="0.15">
      <c r="L328" s="4"/>
      <c r="M328" s="4"/>
      <c r="N328" s="4"/>
    </row>
    <row r="329" spans="12:14" ht="13" x14ac:dyDescent="0.15">
      <c r="L329" s="4"/>
      <c r="M329" s="4"/>
      <c r="N329" s="4"/>
    </row>
    <row r="330" spans="12:14" ht="13" x14ac:dyDescent="0.15">
      <c r="L330" s="4"/>
      <c r="M330" s="4"/>
      <c r="N330" s="4"/>
    </row>
    <row r="331" spans="12:14" ht="13" x14ac:dyDescent="0.15">
      <c r="L331" s="4"/>
      <c r="M331" s="4"/>
      <c r="N331" s="4"/>
    </row>
    <row r="332" spans="12:14" ht="13" x14ac:dyDescent="0.15">
      <c r="L332" s="4"/>
      <c r="M332" s="4"/>
      <c r="N332" s="4"/>
    </row>
    <row r="333" spans="12:14" ht="13" x14ac:dyDescent="0.15">
      <c r="L333" s="4"/>
      <c r="M333" s="4"/>
      <c r="N333" s="4"/>
    </row>
    <row r="334" spans="12:14" ht="13" x14ac:dyDescent="0.15">
      <c r="L334" s="4"/>
      <c r="M334" s="4"/>
      <c r="N334" s="4"/>
    </row>
    <row r="335" spans="12:14" ht="13" x14ac:dyDescent="0.15">
      <c r="L335" s="4"/>
      <c r="M335" s="4"/>
      <c r="N335" s="4"/>
    </row>
    <row r="336" spans="12:14" ht="13" x14ac:dyDescent="0.15">
      <c r="L336" s="4"/>
      <c r="M336" s="4"/>
      <c r="N336" s="4"/>
    </row>
    <row r="337" spans="12:14" ht="13" x14ac:dyDescent="0.15">
      <c r="L337" s="4"/>
      <c r="M337" s="4"/>
      <c r="N337" s="4"/>
    </row>
    <row r="338" spans="12:14" ht="13" x14ac:dyDescent="0.15">
      <c r="L338" s="4"/>
      <c r="M338" s="4"/>
      <c r="N338" s="4"/>
    </row>
    <row r="339" spans="12:14" ht="13" x14ac:dyDescent="0.15">
      <c r="L339" s="4"/>
      <c r="M339" s="4"/>
      <c r="N339" s="4"/>
    </row>
    <row r="340" spans="12:14" ht="13" x14ac:dyDescent="0.15">
      <c r="L340" s="4"/>
      <c r="M340" s="4"/>
      <c r="N340" s="4"/>
    </row>
    <row r="341" spans="12:14" ht="13" x14ac:dyDescent="0.15">
      <c r="L341" s="4"/>
      <c r="M341" s="4"/>
      <c r="N341" s="4"/>
    </row>
    <row r="342" spans="12:14" ht="13" x14ac:dyDescent="0.15">
      <c r="L342" s="4"/>
      <c r="M342" s="4"/>
      <c r="N342" s="4"/>
    </row>
    <row r="343" spans="12:14" ht="13" x14ac:dyDescent="0.15">
      <c r="L343" s="4"/>
      <c r="M343" s="4"/>
      <c r="N343" s="4"/>
    </row>
    <row r="344" spans="12:14" ht="13" x14ac:dyDescent="0.15">
      <c r="L344" s="4"/>
      <c r="M344" s="4"/>
      <c r="N344" s="4"/>
    </row>
    <row r="345" spans="12:14" ht="13" x14ac:dyDescent="0.15">
      <c r="L345" s="4"/>
      <c r="M345" s="4"/>
      <c r="N345" s="4"/>
    </row>
    <row r="346" spans="12:14" ht="13" x14ac:dyDescent="0.15">
      <c r="L346" s="4"/>
      <c r="M346" s="4"/>
      <c r="N346" s="4"/>
    </row>
    <row r="347" spans="12:14" ht="13" x14ac:dyDescent="0.15">
      <c r="L347" s="4"/>
      <c r="M347" s="4"/>
      <c r="N347" s="4"/>
    </row>
    <row r="348" spans="12:14" ht="13" x14ac:dyDescent="0.15">
      <c r="L348" s="4"/>
      <c r="M348" s="4"/>
      <c r="N348" s="4"/>
    </row>
    <row r="349" spans="12:14" ht="13" x14ac:dyDescent="0.15">
      <c r="L349" s="4"/>
      <c r="M349" s="4"/>
      <c r="N349" s="4"/>
    </row>
    <row r="350" spans="12:14" ht="13" x14ac:dyDescent="0.15">
      <c r="L350" s="4"/>
      <c r="M350" s="4"/>
      <c r="N350" s="4"/>
    </row>
    <row r="351" spans="12:14" ht="13" x14ac:dyDescent="0.15">
      <c r="L351" s="4"/>
      <c r="M351" s="4"/>
      <c r="N351" s="4"/>
    </row>
    <row r="352" spans="12:14" ht="13" x14ac:dyDescent="0.15">
      <c r="L352" s="4"/>
      <c r="M352" s="4"/>
      <c r="N352" s="4"/>
    </row>
    <row r="353" spans="12:14" ht="13" x14ac:dyDescent="0.15">
      <c r="L353" s="4"/>
      <c r="M353" s="4"/>
      <c r="N353" s="4"/>
    </row>
    <row r="354" spans="12:14" ht="13" x14ac:dyDescent="0.15">
      <c r="L354" s="4"/>
      <c r="M354" s="4"/>
      <c r="N354" s="4"/>
    </row>
    <row r="355" spans="12:14" ht="13" x14ac:dyDescent="0.15">
      <c r="L355" s="4"/>
      <c r="M355" s="4"/>
      <c r="N355" s="4"/>
    </row>
    <row r="356" spans="12:14" ht="13" x14ac:dyDescent="0.15">
      <c r="L356" s="4"/>
      <c r="M356" s="4"/>
      <c r="N356" s="4"/>
    </row>
    <row r="357" spans="12:14" ht="13" x14ac:dyDescent="0.15">
      <c r="L357" s="4"/>
      <c r="M357" s="4"/>
      <c r="N357" s="4"/>
    </row>
    <row r="358" spans="12:14" ht="13" x14ac:dyDescent="0.15">
      <c r="L358" s="4"/>
      <c r="M358" s="4"/>
      <c r="N358" s="4"/>
    </row>
    <row r="359" spans="12:14" ht="13" x14ac:dyDescent="0.15">
      <c r="L359" s="4"/>
      <c r="M359" s="4"/>
      <c r="N359" s="4"/>
    </row>
    <row r="360" spans="12:14" ht="13" x14ac:dyDescent="0.15">
      <c r="L360" s="4"/>
      <c r="M360" s="4"/>
      <c r="N360" s="4"/>
    </row>
    <row r="361" spans="12:14" ht="13" x14ac:dyDescent="0.15">
      <c r="L361" s="4"/>
      <c r="M361" s="4"/>
      <c r="N361" s="4"/>
    </row>
    <row r="362" spans="12:14" ht="13" x14ac:dyDescent="0.15">
      <c r="L362" s="4"/>
      <c r="M362" s="4"/>
      <c r="N362" s="4"/>
    </row>
    <row r="363" spans="12:14" ht="13" x14ac:dyDescent="0.15">
      <c r="L363" s="4"/>
      <c r="M363" s="4"/>
      <c r="N363" s="4"/>
    </row>
    <row r="364" spans="12:14" ht="13" x14ac:dyDescent="0.15">
      <c r="L364" s="4"/>
      <c r="M364" s="4"/>
      <c r="N364" s="4"/>
    </row>
    <row r="365" spans="12:14" ht="13" x14ac:dyDescent="0.15">
      <c r="L365" s="4"/>
      <c r="M365" s="4"/>
      <c r="N365" s="4"/>
    </row>
    <row r="366" spans="12:14" ht="13" x14ac:dyDescent="0.15">
      <c r="L366" s="4"/>
      <c r="M366" s="4"/>
      <c r="N366" s="4"/>
    </row>
    <row r="367" spans="12:14" ht="13" x14ac:dyDescent="0.15">
      <c r="L367" s="4"/>
      <c r="M367" s="4"/>
      <c r="N367" s="4"/>
    </row>
    <row r="368" spans="12:14" ht="13" x14ac:dyDescent="0.15">
      <c r="L368" s="4"/>
      <c r="M368" s="4"/>
      <c r="N368" s="4"/>
    </row>
    <row r="369" spans="12:14" ht="13" x14ac:dyDescent="0.15">
      <c r="L369" s="4"/>
      <c r="M369" s="4"/>
      <c r="N369" s="4"/>
    </row>
    <row r="370" spans="12:14" ht="13" x14ac:dyDescent="0.15">
      <c r="L370" s="4"/>
      <c r="M370" s="4"/>
      <c r="N370" s="4"/>
    </row>
    <row r="371" spans="12:14" ht="13" x14ac:dyDescent="0.15">
      <c r="L371" s="4"/>
      <c r="M371" s="4"/>
      <c r="N371" s="4"/>
    </row>
    <row r="372" spans="12:14" ht="13" x14ac:dyDescent="0.15">
      <c r="L372" s="4"/>
      <c r="M372" s="4"/>
      <c r="N372" s="4"/>
    </row>
    <row r="373" spans="12:14" ht="13" x14ac:dyDescent="0.15">
      <c r="L373" s="4"/>
      <c r="M373" s="4"/>
      <c r="N373" s="4"/>
    </row>
    <row r="374" spans="12:14" ht="13" x14ac:dyDescent="0.15">
      <c r="L374" s="4"/>
      <c r="M374" s="4"/>
      <c r="N374" s="4"/>
    </row>
    <row r="375" spans="12:14" ht="13" x14ac:dyDescent="0.15">
      <c r="L375" s="4"/>
      <c r="M375" s="4"/>
      <c r="N375" s="4"/>
    </row>
    <row r="376" spans="12:14" ht="13" x14ac:dyDescent="0.15">
      <c r="L376" s="4"/>
      <c r="M376" s="4"/>
      <c r="N376" s="4"/>
    </row>
    <row r="377" spans="12:14" ht="13" x14ac:dyDescent="0.15">
      <c r="L377" s="4"/>
      <c r="M377" s="4"/>
      <c r="N377" s="4"/>
    </row>
    <row r="378" spans="12:14" ht="13" x14ac:dyDescent="0.15">
      <c r="L378" s="4"/>
      <c r="M378" s="4"/>
      <c r="N378" s="4"/>
    </row>
    <row r="379" spans="12:14" ht="13" x14ac:dyDescent="0.15">
      <c r="L379" s="4"/>
      <c r="M379" s="4"/>
      <c r="N379" s="4"/>
    </row>
    <row r="380" spans="12:14" ht="13" x14ac:dyDescent="0.15">
      <c r="L380" s="4"/>
      <c r="M380" s="4"/>
      <c r="N380" s="4"/>
    </row>
    <row r="381" spans="12:14" ht="13" x14ac:dyDescent="0.15">
      <c r="L381" s="4"/>
      <c r="M381" s="4"/>
      <c r="N381" s="4"/>
    </row>
    <row r="382" spans="12:14" ht="13" x14ac:dyDescent="0.15">
      <c r="L382" s="4"/>
      <c r="M382" s="4"/>
      <c r="N382" s="4"/>
    </row>
    <row r="383" spans="12:14" ht="13" x14ac:dyDescent="0.15">
      <c r="L383" s="4"/>
      <c r="M383" s="4"/>
      <c r="N383" s="4"/>
    </row>
    <row r="384" spans="12:14" ht="13" x14ac:dyDescent="0.15">
      <c r="L384" s="4"/>
      <c r="M384" s="4"/>
      <c r="N384" s="4"/>
    </row>
    <row r="385" spans="12:14" ht="13" x14ac:dyDescent="0.15">
      <c r="L385" s="4"/>
      <c r="M385" s="4"/>
      <c r="N385" s="4"/>
    </row>
    <row r="386" spans="12:14" ht="13" x14ac:dyDescent="0.15">
      <c r="L386" s="4"/>
      <c r="M386" s="4"/>
      <c r="N386" s="4"/>
    </row>
    <row r="387" spans="12:14" ht="13" x14ac:dyDescent="0.15">
      <c r="L387" s="4"/>
      <c r="M387" s="4"/>
      <c r="N387" s="4"/>
    </row>
    <row r="388" spans="12:14" ht="13" x14ac:dyDescent="0.15">
      <c r="L388" s="4"/>
      <c r="M388" s="4"/>
      <c r="N388" s="4"/>
    </row>
    <row r="389" spans="12:14" ht="13" x14ac:dyDescent="0.15">
      <c r="L389" s="4"/>
      <c r="M389" s="4"/>
      <c r="N389" s="4"/>
    </row>
    <row r="390" spans="12:14" ht="13" x14ac:dyDescent="0.15">
      <c r="L390" s="4"/>
      <c r="M390" s="4"/>
      <c r="N390" s="4"/>
    </row>
    <row r="391" spans="12:14" ht="13" x14ac:dyDescent="0.15">
      <c r="L391" s="4"/>
      <c r="M391" s="4"/>
      <c r="N391" s="4"/>
    </row>
    <row r="392" spans="12:14" ht="13" x14ac:dyDescent="0.15">
      <c r="L392" s="4"/>
      <c r="M392" s="4"/>
      <c r="N392" s="4"/>
    </row>
    <row r="393" spans="12:14" ht="13" x14ac:dyDescent="0.15">
      <c r="L393" s="4"/>
      <c r="M393" s="4"/>
      <c r="N393" s="4"/>
    </row>
    <row r="394" spans="12:14" ht="13" x14ac:dyDescent="0.15">
      <c r="L394" s="4"/>
      <c r="M394" s="4"/>
      <c r="N394" s="4"/>
    </row>
    <row r="395" spans="12:14" ht="13" x14ac:dyDescent="0.15">
      <c r="L395" s="4"/>
      <c r="M395" s="4"/>
      <c r="N395" s="4"/>
    </row>
    <row r="396" spans="12:14" ht="13" x14ac:dyDescent="0.15">
      <c r="L396" s="4"/>
      <c r="M396" s="4"/>
      <c r="N396" s="4"/>
    </row>
    <row r="397" spans="12:14" ht="13" x14ac:dyDescent="0.15">
      <c r="L397" s="4"/>
      <c r="M397" s="4"/>
      <c r="N397" s="4"/>
    </row>
    <row r="398" spans="12:14" ht="13" x14ac:dyDescent="0.15">
      <c r="L398" s="4"/>
      <c r="M398" s="4"/>
      <c r="N398" s="4"/>
    </row>
    <row r="399" spans="12:14" ht="13" x14ac:dyDescent="0.15">
      <c r="L399" s="4"/>
      <c r="M399" s="4"/>
      <c r="N399" s="4"/>
    </row>
    <row r="400" spans="12:14" ht="13" x14ac:dyDescent="0.15">
      <c r="L400" s="4"/>
      <c r="M400" s="4"/>
      <c r="N400" s="4"/>
    </row>
    <row r="401" spans="12:14" ht="13" x14ac:dyDescent="0.15">
      <c r="L401" s="4"/>
      <c r="M401" s="4"/>
      <c r="N401" s="4"/>
    </row>
    <row r="402" spans="12:14" ht="13" x14ac:dyDescent="0.15">
      <c r="L402" s="4"/>
      <c r="M402" s="4"/>
      <c r="N402" s="4"/>
    </row>
    <row r="403" spans="12:14" ht="13" x14ac:dyDescent="0.15">
      <c r="L403" s="4"/>
      <c r="M403" s="4"/>
      <c r="N403" s="4"/>
    </row>
    <row r="404" spans="12:14" ht="13" x14ac:dyDescent="0.15">
      <c r="L404" s="4"/>
      <c r="M404" s="4"/>
      <c r="N404" s="4"/>
    </row>
    <row r="405" spans="12:14" ht="13" x14ac:dyDescent="0.15">
      <c r="L405" s="4"/>
      <c r="M405" s="4"/>
      <c r="N405" s="4"/>
    </row>
    <row r="406" spans="12:14" ht="13" x14ac:dyDescent="0.15">
      <c r="L406" s="4"/>
      <c r="M406" s="4"/>
      <c r="N406" s="4"/>
    </row>
    <row r="407" spans="12:14" ht="13" x14ac:dyDescent="0.15">
      <c r="L407" s="4"/>
      <c r="M407" s="4"/>
      <c r="N407" s="4"/>
    </row>
    <row r="408" spans="12:14" ht="13" x14ac:dyDescent="0.15">
      <c r="L408" s="4"/>
      <c r="M408" s="4"/>
      <c r="N408" s="4"/>
    </row>
    <row r="409" spans="12:14" ht="13" x14ac:dyDescent="0.15">
      <c r="L409" s="4"/>
      <c r="M409" s="4"/>
      <c r="N409" s="4"/>
    </row>
    <row r="410" spans="12:14" ht="13" x14ac:dyDescent="0.15">
      <c r="L410" s="4"/>
      <c r="M410" s="4"/>
      <c r="N410" s="4"/>
    </row>
    <row r="411" spans="12:14" ht="13" x14ac:dyDescent="0.15">
      <c r="L411" s="4"/>
      <c r="M411" s="4"/>
      <c r="N411" s="4"/>
    </row>
    <row r="412" spans="12:14" ht="13" x14ac:dyDescent="0.15">
      <c r="L412" s="4"/>
      <c r="M412" s="4"/>
      <c r="N412" s="4"/>
    </row>
    <row r="413" spans="12:14" ht="13" x14ac:dyDescent="0.15">
      <c r="L413" s="4"/>
      <c r="M413" s="4"/>
      <c r="N413" s="4"/>
    </row>
    <row r="414" spans="12:14" ht="13" x14ac:dyDescent="0.15">
      <c r="L414" s="4"/>
      <c r="M414" s="4"/>
      <c r="N414" s="4"/>
    </row>
    <row r="415" spans="12:14" ht="13" x14ac:dyDescent="0.15">
      <c r="L415" s="4"/>
      <c r="M415" s="4"/>
      <c r="N415" s="4"/>
    </row>
    <row r="416" spans="12:14" ht="13" x14ac:dyDescent="0.15">
      <c r="L416" s="4"/>
      <c r="M416" s="4"/>
      <c r="N416" s="4"/>
    </row>
    <row r="417" spans="12:14" ht="13" x14ac:dyDescent="0.15">
      <c r="L417" s="4"/>
      <c r="M417" s="4"/>
      <c r="N417" s="4"/>
    </row>
    <row r="418" spans="12:14" ht="13" x14ac:dyDescent="0.15">
      <c r="L418" s="4"/>
      <c r="M418" s="4"/>
      <c r="N418" s="4"/>
    </row>
    <row r="419" spans="12:14" ht="13" x14ac:dyDescent="0.15">
      <c r="L419" s="4"/>
      <c r="M419" s="4"/>
      <c r="N419" s="4"/>
    </row>
    <row r="420" spans="12:14" ht="13" x14ac:dyDescent="0.15">
      <c r="L420" s="4"/>
      <c r="M420" s="4"/>
      <c r="N420" s="4"/>
    </row>
    <row r="421" spans="12:14" ht="13" x14ac:dyDescent="0.15">
      <c r="L421" s="4"/>
      <c r="M421" s="4"/>
      <c r="N421" s="4"/>
    </row>
    <row r="422" spans="12:14" ht="13" x14ac:dyDescent="0.15">
      <c r="L422" s="4"/>
      <c r="M422" s="4"/>
      <c r="N422" s="4"/>
    </row>
    <row r="423" spans="12:14" ht="13" x14ac:dyDescent="0.15">
      <c r="L423" s="4"/>
      <c r="M423" s="4"/>
      <c r="N423" s="4"/>
    </row>
    <row r="424" spans="12:14" ht="13" x14ac:dyDescent="0.15">
      <c r="L424" s="4"/>
      <c r="M424" s="4"/>
      <c r="N424" s="4"/>
    </row>
    <row r="425" spans="12:14" ht="13" x14ac:dyDescent="0.15">
      <c r="L425" s="4"/>
      <c r="M425" s="4"/>
      <c r="N425" s="4"/>
    </row>
    <row r="426" spans="12:14" ht="13" x14ac:dyDescent="0.15">
      <c r="L426" s="4"/>
      <c r="M426" s="4"/>
      <c r="N426" s="4"/>
    </row>
    <row r="427" spans="12:14" ht="13" x14ac:dyDescent="0.15">
      <c r="L427" s="4"/>
      <c r="M427" s="4"/>
      <c r="N427" s="4"/>
    </row>
    <row r="428" spans="12:14" ht="13" x14ac:dyDescent="0.15">
      <c r="L428" s="4"/>
      <c r="M428" s="4"/>
      <c r="N428" s="4"/>
    </row>
    <row r="429" spans="12:14" ht="13" x14ac:dyDescent="0.15">
      <c r="L429" s="4"/>
      <c r="M429" s="4"/>
      <c r="N429" s="4"/>
    </row>
    <row r="430" spans="12:14" ht="13" x14ac:dyDescent="0.15">
      <c r="L430" s="4"/>
      <c r="M430" s="4"/>
      <c r="N430" s="4"/>
    </row>
    <row r="431" spans="12:14" ht="13" x14ac:dyDescent="0.15">
      <c r="L431" s="4"/>
      <c r="M431" s="4"/>
      <c r="N431" s="4"/>
    </row>
    <row r="432" spans="12:14" ht="13" x14ac:dyDescent="0.15">
      <c r="L432" s="4"/>
      <c r="M432" s="4"/>
      <c r="N432" s="4"/>
    </row>
    <row r="433" spans="12:14" ht="13" x14ac:dyDescent="0.15">
      <c r="L433" s="4"/>
      <c r="M433" s="4"/>
      <c r="N433" s="4"/>
    </row>
    <row r="434" spans="12:14" ht="13" x14ac:dyDescent="0.15">
      <c r="L434" s="4"/>
      <c r="M434" s="4"/>
      <c r="N434" s="4"/>
    </row>
    <row r="435" spans="12:14" ht="13" x14ac:dyDescent="0.15">
      <c r="L435" s="4"/>
      <c r="M435" s="4"/>
      <c r="N435" s="4"/>
    </row>
    <row r="436" spans="12:14" ht="13" x14ac:dyDescent="0.15">
      <c r="L436" s="4"/>
      <c r="M436" s="4"/>
      <c r="N436" s="4"/>
    </row>
    <row r="437" spans="12:14" ht="13" x14ac:dyDescent="0.15">
      <c r="L437" s="4"/>
      <c r="M437" s="4"/>
      <c r="N437" s="4"/>
    </row>
    <row r="438" spans="12:14" ht="13" x14ac:dyDescent="0.15">
      <c r="L438" s="4"/>
      <c r="M438" s="4"/>
      <c r="N438" s="4"/>
    </row>
    <row r="439" spans="12:14" ht="13" x14ac:dyDescent="0.15">
      <c r="L439" s="4"/>
      <c r="M439" s="4"/>
      <c r="N439" s="4"/>
    </row>
    <row r="440" spans="12:14" ht="13" x14ac:dyDescent="0.15">
      <c r="L440" s="4"/>
      <c r="M440" s="4"/>
      <c r="N440" s="4"/>
    </row>
    <row r="441" spans="12:14" ht="13" x14ac:dyDescent="0.15">
      <c r="L441" s="4"/>
      <c r="M441" s="4"/>
      <c r="N441" s="4"/>
    </row>
    <row r="442" spans="12:14" ht="13" x14ac:dyDescent="0.15">
      <c r="L442" s="4"/>
      <c r="M442" s="4"/>
      <c r="N442" s="4"/>
    </row>
    <row r="443" spans="12:14" ht="13" x14ac:dyDescent="0.15">
      <c r="L443" s="4"/>
      <c r="M443" s="4"/>
      <c r="N443" s="4"/>
    </row>
    <row r="444" spans="12:14" ht="13" x14ac:dyDescent="0.15">
      <c r="L444" s="4"/>
      <c r="M444" s="4"/>
      <c r="N444" s="4"/>
    </row>
    <row r="445" spans="12:14" ht="13" x14ac:dyDescent="0.15">
      <c r="L445" s="4"/>
      <c r="M445" s="4"/>
      <c r="N445" s="4"/>
    </row>
    <row r="446" spans="12:14" ht="13" x14ac:dyDescent="0.15">
      <c r="L446" s="4"/>
      <c r="M446" s="4"/>
      <c r="N446" s="4"/>
    </row>
    <row r="447" spans="12:14" ht="13" x14ac:dyDescent="0.15">
      <c r="L447" s="4"/>
      <c r="M447" s="4"/>
      <c r="N447" s="4"/>
    </row>
    <row r="448" spans="12:14" ht="13" x14ac:dyDescent="0.15">
      <c r="L448" s="4"/>
      <c r="M448" s="4"/>
      <c r="N448" s="4"/>
    </row>
    <row r="449" spans="12:14" ht="13" x14ac:dyDescent="0.15">
      <c r="L449" s="4"/>
      <c r="M449" s="4"/>
      <c r="N449" s="4"/>
    </row>
    <row r="450" spans="12:14" ht="13" x14ac:dyDescent="0.15">
      <c r="L450" s="4"/>
      <c r="M450" s="4"/>
      <c r="N450" s="4"/>
    </row>
    <row r="451" spans="12:14" ht="13" x14ac:dyDescent="0.15">
      <c r="L451" s="4"/>
      <c r="M451" s="4"/>
      <c r="N451" s="4"/>
    </row>
    <row r="452" spans="12:14" ht="13" x14ac:dyDescent="0.15">
      <c r="L452" s="4"/>
      <c r="M452" s="4"/>
      <c r="N452" s="4"/>
    </row>
    <row r="453" spans="12:14" ht="13" x14ac:dyDescent="0.15">
      <c r="L453" s="4"/>
      <c r="M453" s="4"/>
      <c r="N453" s="4"/>
    </row>
    <row r="454" spans="12:14" ht="13" x14ac:dyDescent="0.15">
      <c r="L454" s="4"/>
      <c r="M454" s="4"/>
      <c r="N454" s="4"/>
    </row>
    <row r="455" spans="12:14" ht="13" x14ac:dyDescent="0.15">
      <c r="L455" s="4"/>
      <c r="M455" s="4"/>
      <c r="N455" s="4"/>
    </row>
    <row r="456" spans="12:14" ht="13" x14ac:dyDescent="0.15">
      <c r="L456" s="4"/>
      <c r="M456" s="4"/>
      <c r="N456" s="4"/>
    </row>
    <row r="457" spans="12:14" ht="13" x14ac:dyDescent="0.15">
      <c r="L457" s="4"/>
      <c r="M457" s="4"/>
      <c r="N457" s="4"/>
    </row>
    <row r="458" spans="12:14" ht="13" x14ac:dyDescent="0.15">
      <c r="L458" s="4"/>
      <c r="M458" s="4"/>
      <c r="N458" s="4"/>
    </row>
    <row r="459" spans="12:14" ht="13" x14ac:dyDescent="0.15">
      <c r="L459" s="4"/>
      <c r="M459" s="4"/>
      <c r="N459" s="4"/>
    </row>
    <row r="460" spans="12:14" ht="13" x14ac:dyDescent="0.15">
      <c r="L460" s="4"/>
      <c r="M460" s="4"/>
      <c r="N460" s="4"/>
    </row>
    <row r="461" spans="12:14" ht="13" x14ac:dyDescent="0.15">
      <c r="L461" s="4"/>
      <c r="M461" s="4"/>
      <c r="N461" s="4"/>
    </row>
    <row r="462" spans="12:14" ht="13" x14ac:dyDescent="0.15">
      <c r="L462" s="4"/>
      <c r="M462" s="4"/>
      <c r="N462" s="4"/>
    </row>
    <row r="463" spans="12:14" ht="13" x14ac:dyDescent="0.15">
      <c r="L463" s="4"/>
      <c r="M463" s="4"/>
      <c r="N463" s="4"/>
    </row>
    <row r="464" spans="12:14" ht="13" x14ac:dyDescent="0.15">
      <c r="L464" s="4"/>
      <c r="M464" s="4"/>
      <c r="N464" s="4"/>
    </row>
    <row r="465" spans="12:14" ht="13" x14ac:dyDescent="0.15">
      <c r="L465" s="4"/>
      <c r="M465" s="4"/>
      <c r="N465" s="4"/>
    </row>
    <row r="466" spans="12:14" ht="13" x14ac:dyDescent="0.15">
      <c r="L466" s="4"/>
      <c r="M466" s="4"/>
      <c r="N466" s="4"/>
    </row>
    <row r="467" spans="12:14" ht="13" x14ac:dyDescent="0.15">
      <c r="L467" s="4"/>
      <c r="M467" s="4"/>
      <c r="N467" s="4"/>
    </row>
    <row r="468" spans="12:14" ht="13" x14ac:dyDescent="0.15">
      <c r="L468" s="4"/>
      <c r="M468" s="4"/>
      <c r="N468" s="4"/>
    </row>
    <row r="469" spans="12:14" ht="13" x14ac:dyDescent="0.15">
      <c r="L469" s="4"/>
      <c r="M469" s="4"/>
      <c r="N469" s="4"/>
    </row>
    <row r="470" spans="12:14" ht="13" x14ac:dyDescent="0.15">
      <c r="L470" s="4"/>
      <c r="M470" s="4"/>
      <c r="N470" s="4"/>
    </row>
    <row r="471" spans="12:14" ht="13" x14ac:dyDescent="0.15">
      <c r="L471" s="4"/>
      <c r="M471" s="4"/>
      <c r="N471" s="4"/>
    </row>
    <row r="472" spans="12:14" ht="13" x14ac:dyDescent="0.15">
      <c r="L472" s="4"/>
      <c r="M472" s="4"/>
      <c r="N472" s="4"/>
    </row>
    <row r="473" spans="12:14" ht="13" x14ac:dyDescent="0.15">
      <c r="L473" s="4"/>
      <c r="M473" s="4"/>
      <c r="N473" s="4"/>
    </row>
    <row r="474" spans="12:14" ht="13" x14ac:dyDescent="0.15">
      <c r="L474" s="4"/>
      <c r="M474" s="4"/>
      <c r="N474" s="4"/>
    </row>
    <row r="475" spans="12:14" ht="13" x14ac:dyDescent="0.15">
      <c r="L475" s="4"/>
      <c r="M475" s="4"/>
      <c r="N475" s="4"/>
    </row>
    <row r="476" spans="12:14" ht="13" x14ac:dyDescent="0.15">
      <c r="L476" s="4"/>
      <c r="M476" s="4"/>
      <c r="N476" s="4"/>
    </row>
    <row r="477" spans="12:14" ht="13" x14ac:dyDescent="0.15">
      <c r="L477" s="4"/>
      <c r="M477" s="4"/>
      <c r="N477" s="4"/>
    </row>
    <row r="478" spans="12:14" ht="13" x14ac:dyDescent="0.15">
      <c r="L478" s="4"/>
      <c r="M478" s="4"/>
      <c r="N478" s="4"/>
    </row>
    <row r="479" spans="12:14" ht="13" x14ac:dyDescent="0.15">
      <c r="L479" s="4"/>
      <c r="M479" s="4"/>
      <c r="N479" s="4"/>
    </row>
    <row r="480" spans="12:14" ht="13" x14ac:dyDescent="0.15">
      <c r="L480" s="4"/>
      <c r="M480" s="4"/>
      <c r="N480" s="4"/>
    </row>
    <row r="481" spans="12:14" ht="13" x14ac:dyDescent="0.15">
      <c r="L481" s="4"/>
      <c r="M481" s="4"/>
      <c r="N481" s="4"/>
    </row>
    <row r="482" spans="12:14" ht="13" x14ac:dyDescent="0.15">
      <c r="L482" s="4"/>
      <c r="M482" s="4"/>
      <c r="N482" s="4"/>
    </row>
    <row r="483" spans="12:14" ht="13" x14ac:dyDescent="0.15">
      <c r="L483" s="4"/>
      <c r="M483" s="4"/>
      <c r="N483" s="4"/>
    </row>
    <row r="484" spans="12:14" ht="13" x14ac:dyDescent="0.15">
      <c r="L484" s="4"/>
      <c r="M484" s="4"/>
      <c r="N484" s="4"/>
    </row>
    <row r="485" spans="12:14" ht="13" x14ac:dyDescent="0.15">
      <c r="L485" s="4"/>
      <c r="M485" s="4"/>
      <c r="N485" s="4"/>
    </row>
    <row r="486" spans="12:14" ht="13" x14ac:dyDescent="0.15">
      <c r="L486" s="4"/>
      <c r="M486" s="4"/>
      <c r="N486" s="4"/>
    </row>
    <row r="487" spans="12:14" ht="13" x14ac:dyDescent="0.15">
      <c r="L487" s="4"/>
      <c r="M487" s="4"/>
      <c r="N487" s="4"/>
    </row>
    <row r="488" spans="12:14" ht="13" x14ac:dyDescent="0.15">
      <c r="L488" s="4"/>
      <c r="M488" s="4"/>
      <c r="N488" s="4"/>
    </row>
    <row r="489" spans="12:14" ht="13" x14ac:dyDescent="0.15">
      <c r="L489" s="4"/>
      <c r="M489" s="4"/>
      <c r="N489" s="4"/>
    </row>
    <row r="490" spans="12:14" ht="13" x14ac:dyDescent="0.15">
      <c r="L490" s="4"/>
      <c r="M490" s="4"/>
      <c r="N490" s="4"/>
    </row>
    <row r="491" spans="12:14" ht="13" x14ac:dyDescent="0.15">
      <c r="L491" s="4"/>
      <c r="M491" s="4"/>
      <c r="N491" s="4"/>
    </row>
    <row r="492" spans="12:14" ht="13" x14ac:dyDescent="0.15">
      <c r="L492" s="4"/>
      <c r="M492" s="4"/>
      <c r="N492" s="4"/>
    </row>
    <row r="493" spans="12:14" ht="13" x14ac:dyDescent="0.15">
      <c r="L493" s="4"/>
      <c r="M493" s="4"/>
      <c r="N493" s="4"/>
    </row>
    <row r="494" spans="12:14" ht="13" x14ac:dyDescent="0.15">
      <c r="L494" s="4"/>
      <c r="M494" s="4"/>
      <c r="N494" s="4"/>
    </row>
    <row r="495" spans="12:14" ht="13" x14ac:dyDescent="0.15">
      <c r="L495" s="4"/>
      <c r="M495" s="4"/>
      <c r="N495" s="4"/>
    </row>
    <row r="496" spans="12:14" ht="13" x14ac:dyDescent="0.15">
      <c r="L496" s="4"/>
      <c r="M496" s="4"/>
      <c r="N496" s="4"/>
    </row>
    <row r="497" spans="12:14" ht="13" x14ac:dyDescent="0.15">
      <c r="L497" s="4"/>
      <c r="M497" s="4"/>
      <c r="N497" s="4"/>
    </row>
    <row r="498" spans="12:14" ht="13" x14ac:dyDescent="0.15">
      <c r="L498" s="4"/>
      <c r="M498" s="4"/>
      <c r="N498" s="4"/>
    </row>
    <row r="499" spans="12:14" ht="13" x14ac:dyDescent="0.15">
      <c r="L499" s="4"/>
      <c r="M499" s="4"/>
      <c r="N499" s="4"/>
    </row>
    <row r="500" spans="12:14" ht="13" x14ac:dyDescent="0.15">
      <c r="L500" s="4"/>
      <c r="M500" s="4"/>
      <c r="N500" s="4"/>
    </row>
    <row r="501" spans="12:14" ht="13" x14ac:dyDescent="0.15">
      <c r="L501" s="4"/>
      <c r="M501" s="4"/>
      <c r="N501" s="4"/>
    </row>
    <row r="502" spans="12:14" ht="13" x14ac:dyDescent="0.15">
      <c r="L502" s="4"/>
      <c r="M502" s="4"/>
      <c r="N502" s="4"/>
    </row>
    <row r="503" spans="12:14" ht="13" x14ac:dyDescent="0.15">
      <c r="L503" s="4"/>
      <c r="M503" s="4"/>
      <c r="N503" s="4"/>
    </row>
    <row r="504" spans="12:14" ht="13" x14ac:dyDescent="0.15">
      <c r="L504" s="4"/>
      <c r="M504" s="4"/>
      <c r="N504" s="4"/>
    </row>
    <row r="505" spans="12:14" ht="13" x14ac:dyDescent="0.15">
      <c r="L505" s="4"/>
      <c r="M505" s="4"/>
      <c r="N505" s="4"/>
    </row>
    <row r="506" spans="12:14" ht="13" x14ac:dyDescent="0.15">
      <c r="L506" s="4"/>
      <c r="M506" s="4"/>
      <c r="N506" s="4"/>
    </row>
    <row r="507" spans="12:14" ht="13" x14ac:dyDescent="0.15">
      <c r="L507" s="4"/>
      <c r="M507" s="4"/>
      <c r="N507" s="4"/>
    </row>
    <row r="508" spans="12:14" ht="13" x14ac:dyDescent="0.15">
      <c r="L508" s="4"/>
      <c r="M508" s="4"/>
      <c r="N508" s="4"/>
    </row>
    <row r="509" spans="12:14" ht="13" x14ac:dyDescent="0.15">
      <c r="L509" s="4"/>
      <c r="M509" s="4"/>
      <c r="N509" s="4"/>
    </row>
    <row r="510" spans="12:14" ht="13" x14ac:dyDescent="0.15">
      <c r="L510" s="4"/>
      <c r="M510" s="4"/>
      <c r="N510" s="4"/>
    </row>
    <row r="511" spans="12:14" ht="13" x14ac:dyDescent="0.15">
      <c r="L511" s="4"/>
      <c r="M511" s="4"/>
      <c r="N511" s="4"/>
    </row>
    <row r="512" spans="12:14" ht="13" x14ac:dyDescent="0.15">
      <c r="L512" s="4"/>
      <c r="M512" s="4"/>
      <c r="N512" s="4"/>
    </row>
    <row r="513" spans="12:14" ht="13" x14ac:dyDescent="0.15">
      <c r="L513" s="4"/>
      <c r="M513" s="4"/>
      <c r="N513" s="4"/>
    </row>
    <row r="514" spans="12:14" ht="13" x14ac:dyDescent="0.15">
      <c r="L514" s="4"/>
      <c r="M514" s="4"/>
      <c r="N514" s="4"/>
    </row>
    <row r="515" spans="12:14" ht="13" x14ac:dyDescent="0.15">
      <c r="L515" s="4"/>
      <c r="M515" s="4"/>
      <c r="N515" s="4"/>
    </row>
    <row r="516" spans="12:14" ht="13" x14ac:dyDescent="0.15">
      <c r="L516" s="4"/>
      <c r="M516" s="4"/>
      <c r="N516" s="4"/>
    </row>
    <row r="517" spans="12:14" ht="13" x14ac:dyDescent="0.15">
      <c r="L517" s="4"/>
      <c r="M517" s="4"/>
      <c r="N517" s="4"/>
    </row>
    <row r="518" spans="12:14" ht="13" x14ac:dyDescent="0.15">
      <c r="L518" s="4"/>
      <c r="M518" s="4"/>
      <c r="N518" s="4"/>
    </row>
    <row r="519" spans="12:14" ht="13" x14ac:dyDescent="0.15">
      <c r="L519" s="4"/>
      <c r="M519" s="4"/>
      <c r="N519" s="4"/>
    </row>
    <row r="520" spans="12:14" ht="13" x14ac:dyDescent="0.15">
      <c r="L520" s="4"/>
      <c r="M520" s="4"/>
      <c r="N520" s="4"/>
    </row>
    <row r="521" spans="12:14" ht="13" x14ac:dyDescent="0.15">
      <c r="L521" s="4"/>
      <c r="M521" s="4"/>
      <c r="N521" s="4"/>
    </row>
    <row r="522" spans="12:14" ht="13" x14ac:dyDescent="0.15">
      <c r="L522" s="4"/>
      <c r="M522" s="4"/>
      <c r="N522" s="4"/>
    </row>
    <row r="523" spans="12:14" ht="13" x14ac:dyDescent="0.15">
      <c r="L523" s="4"/>
      <c r="M523" s="4"/>
      <c r="N523" s="4"/>
    </row>
    <row r="524" spans="12:14" ht="13" x14ac:dyDescent="0.15">
      <c r="L524" s="4"/>
      <c r="M524" s="4"/>
      <c r="N524" s="4"/>
    </row>
    <row r="525" spans="12:14" ht="13" x14ac:dyDescent="0.15">
      <c r="L525" s="4"/>
      <c r="M525" s="4"/>
      <c r="N525" s="4"/>
    </row>
    <row r="526" spans="12:14" ht="13" x14ac:dyDescent="0.15">
      <c r="L526" s="4"/>
      <c r="M526" s="4"/>
      <c r="N526" s="4"/>
    </row>
    <row r="527" spans="12:14" ht="13" x14ac:dyDescent="0.15">
      <c r="L527" s="4"/>
      <c r="M527" s="4"/>
      <c r="N527" s="4"/>
    </row>
    <row r="528" spans="12:14" ht="13" x14ac:dyDescent="0.15">
      <c r="L528" s="4"/>
      <c r="M528" s="4"/>
      <c r="N528" s="4"/>
    </row>
    <row r="529" spans="12:14" ht="13" x14ac:dyDescent="0.15">
      <c r="L529" s="4"/>
      <c r="M529" s="4"/>
      <c r="N529" s="4"/>
    </row>
    <row r="530" spans="12:14" ht="13" x14ac:dyDescent="0.15">
      <c r="L530" s="4"/>
      <c r="M530" s="4"/>
      <c r="N530" s="4"/>
    </row>
    <row r="531" spans="12:14" ht="13" x14ac:dyDescent="0.15">
      <c r="L531" s="4"/>
      <c r="M531" s="4"/>
      <c r="N531" s="4"/>
    </row>
    <row r="532" spans="12:14" ht="13" x14ac:dyDescent="0.15">
      <c r="L532" s="4"/>
      <c r="M532" s="4"/>
      <c r="N532" s="4"/>
    </row>
    <row r="533" spans="12:14" ht="13" x14ac:dyDescent="0.15">
      <c r="L533" s="4"/>
      <c r="M533" s="4"/>
      <c r="N533" s="4"/>
    </row>
    <row r="534" spans="12:14" ht="13" x14ac:dyDescent="0.15">
      <c r="L534" s="4"/>
      <c r="M534" s="4"/>
      <c r="N534" s="4"/>
    </row>
    <row r="535" spans="12:14" ht="13" x14ac:dyDescent="0.15">
      <c r="L535" s="4"/>
      <c r="M535" s="4"/>
      <c r="N535" s="4"/>
    </row>
    <row r="536" spans="12:14" ht="13" x14ac:dyDescent="0.15">
      <c r="L536" s="4"/>
      <c r="M536" s="4"/>
      <c r="N536" s="4"/>
    </row>
    <row r="537" spans="12:14" ht="13" x14ac:dyDescent="0.15">
      <c r="L537" s="4"/>
      <c r="M537" s="4"/>
      <c r="N537" s="4"/>
    </row>
    <row r="538" spans="12:14" ht="13" x14ac:dyDescent="0.15">
      <c r="L538" s="4"/>
      <c r="M538" s="4"/>
      <c r="N538" s="4"/>
    </row>
    <row r="539" spans="12:14" ht="13" x14ac:dyDescent="0.15">
      <c r="L539" s="4"/>
      <c r="M539" s="4"/>
      <c r="N539" s="4"/>
    </row>
    <row r="540" spans="12:14" ht="13" x14ac:dyDescent="0.15">
      <c r="L540" s="4"/>
      <c r="M540" s="4"/>
      <c r="N540" s="4"/>
    </row>
    <row r="541" spans="12:14" ht="13" x14ac:dyDescent="0.15">
      <c r="L541" s="4"/>
      <c r="M541" s="4"/>
      <c r="N541" s="4"/>
    </row>
    <row r="542" spans="12:14" ht="13" x14ac:dyDescent="0.15">
      <c r="L542" s="4"/>
      <c r="M542" s="4"/>
      <c r="N542" s="4"/>
    </row>
    <row r="543" spans="12:14" ht="13" x14ac:dyDescent="0.15">
      <c r="L543" s="4"/>
      <c r="M543" s="4"/>
      <c r="N543" s="4"/>
    </row>
    <row r="544" spans="12:14" ht="13" x14ac:dyDescent="0.15">
      <c r="L544" s="4"/>
      <c r="M544" s="4"/>
      <c r="N544" s="4"/>
    </row>
    <row r="545" spans="12:14" ht="13" x14ac:dyDescent="0.15">
      <c r="L545" s="4"/>
      <c r="M545" s="4"/>
      <c r="N545" s="4"/>
    </row>
    <row r="546" spans="12:14" ht="13" x14ac:dyDescent="0.15">
      <c r="L546" s="4"/>
      <c r="M546" s="4"/>
      <c r="N546" s="4"/>
    </row>
    <row r="547" spans="12:14" ht="13" x14ac:dyDescent="0.15">
      <c r="L547" s="4"/>
      <c r="M547" s="4"/>
      <c r="N547" s="4"/>
    </row>
    <row r="548" spans="12:14" ht="13" x14ac:dyDescent="0.15">
      <c r="L548" s="4"/>
      <c r="M548" s="4"/>
      <c r="N548" s="4"/>
    </row>
    <row r="549" spans="12:14" ht="13" x14ac:dyDescent="0.15">
      <c r="L549" s="4"/>
      <c r="M549" s="4"/>
      <c r="N549" s="4"/>
    </row>
    <row r="550" spans="12:14" ht="13" x14ac:dyDescent="0.15">
      <c r="L550" s="4"/>
      <c r="M550" s="4"/>
      <c r="N550" s="4"/>
    </row>
    <row r="551" spans="12:14" ht="13" x14ac:dyDescent="0.15">
      <c r="L551" s="4"/>
      <c r="M551" s="4"/>
      <c r="N551" s="4"/>
    </row>
    <row r="552" spans="12:14" ht="13" x14ac:dyDescent="0.15">
      <c r="L552" s="4"/>
      <c r="M552" s="4"/>
      <c r="N552" s="4"/>
    </row>
    <row r="553" spans="12:14" ht="13" x14ac:dyDescent="0.15">
      <c r="L553" s="4"/>
      <c r="M553" s="4"/>
      <c r="N553" s="4"/>
    </row>
    <row r="554" spans="12:14" ht="13" x14ac:dyDescent="0.15">
      <c r="L554" s="4"/>
      <c r="M554" s="4"/>
      <c r="N554" s="4"/>
    </row>
    <row r="555" spans="12:14" ht="13" x14ac:dyDescent="0.15">
      <c r="L555" s="4"/>
      <c r="M555" s="4"/>
      <c r="N555" s="4"/>
    </row>
    <row r="556" spans="12:14" ht="13" x14ac:dyDescent="0.15">
      <c r="L556" s="4"/>
      <c r="M556" s="4"/>
      <c r="N556" s="4"/>
    </row>
    <row r="557" spans="12:14" ht="13" x14ac:dyDescent="0.15">
      <c r="L557" s="4"/>
      <c r="M557" s="4"/>
      <c r="N557" s="4"/>
    </row>
    <row r="558" spans="12:14" ht="13" x14ac:dyDescent="0.15">
      <c r="L558" s="4"/>
      <c r="M558" s="4"/>
      <c r="N558" s="4"/>
    </row>
    <row r="559" spans="12:14" ht="13" x14ac:dyDescent="0.15">
      <c r="L559" s="4"/>
      <c r="M559" s="4"/>
      <c r="N559" s="4"/>
    </row>
    <row r="560" spans="12:14" ht="13" x14ac:dyDescent="0.15">
      <c r="L560" s="4"/>
      <c r="M560" s="4"/>
      <c r="N560" s="4"/>
    </row>
    <row r="561" spans="12:14" ht="13" x14ac:dyDescent="0.15">
      <c r="L561" s="4"/>
      <c r="M561" s="4"/>
      <c r="N561" s="4"/>
    </row>
    <row r="562" spans="12:14" ht="13" x14ac:dyDescent="0.15">
      <c r="L562" s="4"/>
      <c r="M562" s="4"/>
      <c r="N562" s="4"/>
    </row>
    <row r="563" spans="12:14" ht="13" x14ac:dyDescent="0.15">
      <c r="L563" s="4"/>
      <c r="M563" s="4"/>
      <c r="N563" s="4"/>
    </row>
    <row r="564" spans="12:14" ht="13" x14ac:dyDescent="0.15">
      <c r="L564" s="4"/>
      <c r="M564" s="4"/>
      <c r="N564" s="4"/>
    </row>
    <row r="565" spans="12:14" ht="13" x14ac:dyDescent="0.15">
      <c r="L565" s="4"/>
      <c r="M565" s="4"/>
      <c r="N565" s="4"/>
    </row>
    <row r="566" spans="12:14" ht="13" x14ac:dyDescent="0.15">
      <c r="L566" s="4"/>
      <c r="M566" s="4"/>
      <c r="N566" s="4"/>
    </row>
    <row r="567" spans="12:14" ht="13" x14ac:dyDescent="0.15">
      <c r="L567" s="4"/>
      <c r="M567" s="4"/>
      <c r="N567" s="4"/>
    </row>
    <row r="568" spans="12:14" ht="13" x14ac:dyDescent="0.15">
      <c r="L568" s="4"/>
      <c r="M568" s="4"/>
      <c r="N568" s="4"/>
    </row>
    <row r="569" spans="12:14" ht="13" x14ac:dyDescent="0.15">
      <c r="L569" s="4"/>
      <c r="M569" s="4"/>
      <c r="N569" s="4"/>
    </row>
    <row r="570" spans="12:14" ht="13" x14ac:dyDescent="0.15">
      <c r="L570" s="4"/>
      <c r="M570" s="4"/>
      <c r="N570" s="4"/>
    </row>
    <row r="571" spans="12:14" ht="13" x14ac:dyDescent="0.15">
      <c r="L571" s="4"/>
      <c r="M571" s="4"/>
      <c r="N571" s="4"/>
    </row>
    <row r="572" spans="12:14" ht="13" x14ac:dyDescent="0.15">
      <c r="L572" s="4"/>
      <c r="M572" s="4"/>
      <c r="N572" s="4"/>
    </row>
    <row r="573" spans="12:14" ht="13" x14ac:dyDescent="0.15">
      <c r="L573" s="4"/>
      <c r="M573" s="4"/>
      <c r="N573" s="4"/>
    </row>
    <row r="574" spans="12:14" ht="13" x14ac:dyDescent="0.15">
      <c r="L574" s="4"/>
      <c r="M574" s="4"/>
      <c r="N574" s="4"/>
    </row>
    <row r="575" spans="12:14" ht="13" x14ac:dyDescent="0.15">
      <c r="L575" s="4"/>
      <c r="M575" s="4"/>
      <c r="N575" s="4"/>
    </row>
    <row r="576" spans="12:14" ht="13" x14ac:dyDescent="0.15">
      <c r="L576" s="4"/>
      <c r="M576" s="4"/>
      <c r="N576" s="4"/>
    </row>
    <row r="577" spans="12:14" ht="13" x14ac:dyDescent="0.15">
      <c r="L577" s="4"/>
      <c r="M577" s="4"/>
      <c r="N577" s="4"/>
    </row>
    <row r="578" spans="12:14" ht="13" x14ac:dyDescent="0.15">
      <c r="L578" s="4"/>
      <c r="M578" s="4"/>
      <c r="N578" s="4"/>
    </row>
    <row r="579" spans="12:14" ht="13" x14ac:dyDescent="0.15">
      <c r="L579" s="4"/>
      <c r="M579" s="4"/>
      <c r="N579" s="4"/>
    </row>
    <row r="580" spans="12:14" ht="13" x14ac:dyDescent="0.15">
      <c r="L580" s="4"/>
      <c r="M580" s="4"/>
      <c r="N580" s="4"/>
    </row>
    <row r="581" spans="12:14" ht="13" x14ac:dyDescent="0.15">
      <c r="L581" s="4"/>
      <c r="M581" s="4"/>
      <c r="N581" s="4"/>
    </row>
    <row r="582" spans="12:14" ht="13" x14ac:dyDescent="0.15">
      <c r="L582" s="4"/>
      <c r="M582" s="4"/>
      <c r="N582" s="4"/>
    </row>
    <row r="583" spans="12:14" ht="13" x14ac:dyDescent="0.15">
      <c r="L583" s="4"/>
      <c r="M583" s="4"/>
      <c r="N583" s="4"/>
    </row>
    <row r="584" spans="12:14" ht="13" x14ac:dyDescent="0.15">
      <c r="L584" s="4"/>
      <c r="M584" s="4"/>
      <c r="N584" s="4"/>
    </row>
    <row r="585" spans="12:14" ht="13" x14ac:dyDescent="0.15">
      <c r="L585" s="4"/>
      <c r="M585" s="4"/>
      <c r="N585" s="4"/>
    </row>
    <row r="586" spans="12:14" ht="13" x14ac:dyDescent="0.15">
      <c r="L586" s="4"/>
      <c r="M586" s="4"/>
      <c r="N586" s="4"/>
    </row>
    <row r="587" spans="12:14" ht="13" x14ac:dyDescent="0.15">
      <c r="L587" s="4"/>
      <c r="M587" s="4"/>
      <c r="N587" s="4"/>
    </row>
    <row r="588" spans="12:14" ht="13" x14ac:dyDescent="0.15">
      <c r="L588" s="4"/>
      <c r="M588" s="4"/>
      <c r="N588" s="4"/>
    </row>
    <row r="589" spans="12:14" ht="13" x14ac:dyDescent="0.15">
      <c r="L589" s="4"/>
      <c r="M589" s="4"/>
      <c r="N589" s="4"/>
    </row>
    <row r="590" spans="12:14" ht="13" x14ac:dyDescent="0.15">
      <c r="L590" s="4"/>
      <c r="M590" s="4"/>
      <c r="N590" s="4"/>
    </row>
    <row r="591" spans="12:14" ht="13" x14ac:dyDescent="0.15">
      <c r="L591" s="4"/>
      <c r="M591" s="4"/>
      <c r="N591" s="4"/>
    </row>
    <row r="592" spans="12:14" ht="13" x14ac:dyDescent="0.15">
      <c r="L592" s="4"/>
      <c r="M592" s="4"/>
      <c r="N592" s="4"/>
    </row>
    <row r="593" spans="12:14" ht="13" x14ac:dyDescent="0.15">
      <c r="L593" s="4"/>
      <c r="M593" s="4"/>
      <c r="N593" s="4"/>
    </row>
    <row r="594" spans="12:14" ht="13" x14ac:dyDescent="0.15">
      <c r="L594" s="4"/>
      <c r="M594" s="4"/>
      <c r="N594" s="4"/>
    </row>
    <row r="595" spans="12:14" ht="13" x14ac:dyDescent="0.15">
      <c r="L595" s="4"/>
      <c r="M595" s="4"/>
      <c r="N595" s="4"/>
    </row>
    <row r="596" spans="12:14" ht="13" x14ac:dyDescent="0.15">
      <c r="L596" s="4"/>
      <c r="M596" s="4"/>
      <c r="N596" s="4"/>
    </row>
    <row r="597" spans="12:14" ht="13" x14ac:dyDescent="0.15">
      <c r="L597" s="4"/>
      <c r="M597" s="4"/>
      <c r="N597" s="4"/>
    </row>
    <row r="598" spans="12:14" ht="13" x14ac:dyDescent="0.15">
      <c r="L598" s="4"/>
      <c r="M598" s="4"/>
      <c r="N598" s="4"/>
    </row>
    <row r="599" spans="12:14" ht="13" x14ac:dyDescent="0.15">
      <c r="L599" s="4"/>
      <c r="M599" s="4"/>
      <c r="N599" s="4"/>
    </row>
    <row r="600" spans="12:14" ht="13" x14ac:dyDescent="0.15">
      <c r="L600" s="4"/>
      <c r="M600" s="4"/>
      <c r="N600" s="4"/>
    </row>
    <row r="601" spans="12:14" ht="13" x14ac:dyDescent="0.15">
      <c r="L601" s="4"/>
      <c r="M601" s="4"/>
      <c r="N601" s="4"/>
    </row>
    <row r="602" spans="12:14" ht="13" x14ac:dyDescent="0.15">
      <c r="L602" s="4"/>
      <c r="M602" s="4"/>
      <c r="N602" s="4"/>
    </row>
    <row r="603" spans="12:14" ht="13" x14ac:dyDescent="0.15">
      <c r="L603" s="4"/>
      <c r="M603" s="4"/>
      <c r="N603" s="4"/>
    </row>
    <row r="604" spans="12:14" ht="13" x14ac:dyDescent="0.15">
      <c r="L604" s="4"/>
      <c r="M604" s="4"/>
      <c r="N604" s="4"/>
    </row>
    <row r="605" spans="12:14" ht="13" x14ac:dyDescent="0.15">
      <c r="L605" s="4"/>
      <c r="M605" s="4"/>
      <c r="N605" s="4"/>
    </row>
    <row r="606" spans="12:14" ht="13" x14ac:dyDescent="0.15">
      <c r="L606" s="4"/>
      <c r="M606" s="4"/>
      <c r="N606" s="4"/>
    </row>
    <row r="607" spans="12:14" ht="13" x14ac:dyDescent="0.15">
      <c r="L607" s="4"/>
      <c r="M607" s="4"/>
      <c r="N607" s="4"/>
    </row>
    <row r="608" spans="12:14" ht="13" x14ac:dyDescent="0.15">
      <c r="L608" s="4"/>
      <c r="M608" s="4"/>
      <c r="N608" s="4"/>
    </row>
    <row r="609" spans="12:14" ht="13" x14ac:dyDescent="0.15">
      <c r="L609" s="4"/>
      <c r="M609" s="4"/>
      <c r="N609" s="4"/>
    </row>
    <row r="610" spans="12:14" ht="13" x14ac:dyDescent="0.15">
      <c r="L610" s="4"/>
      <c r="M610" s="4"/>
      <c r="N610" s="4"/>
    </row>
    <row r="611" spans="12:14" ht="13" x14ac:dyDescent="0.15">
      <c r="L611" s="4"/>
      <c r="M611" s="4"/>
      <c r="N611" s="4"/>
    </row>
    <row r="612" spans="12:14" ht="13" x14ac:dyDescent="0.15">
      <c r="L612" s="4"/>
      <c r="M612" s="4"/>
      <c r="N612" s="4"/>
    </row>
    <row r="613" spans="12:14" ht="13" x14ac:dyDescent="0.15">
      <c r="L613" s="4"/>
      <c r="M613" s="4"/>
      <c r="N613" s="4"/>
    </row>
    <row r="614" spans="12:14" ht="13" x14ac:dyDescent="0.15">
      <c r="L614" s="4"/>
      <c r="M614" s="4"/>
      <c r="N614" s="4"/>
    </row>
    <row r="615" spans="12:14" ht="13" x14ac:dyDescent="0.15">
      <c r="L615" s="4"/>
      <c r="M615" s="4"/>
      <c r="N615" s="4"/>
    </row>
    <row r="616" spans="12:14" ht="13" x14ac:dyDescent="0.15">
      <c r="L616" s="4"/>
      <c r="M616" s="4"/>
      <c r="N616" s="4"/>
    </row>
    <row r="617" spans="12:14" ht="13" x14ac:dyDescent="0.15">
      <c r="L617" s="4"/>
      <c r="M617" s="4"/>
      <c r="N617" s="4"/>
    </row>
    <row r="618" spans="12:14" ht="13" x14ac:dyDescent="0.15">
      <c r="L618" s="4"/>
      <c r="M618" s="4"/>
      <c r="N618" s="4"/>
    </row>
    <row r="619" spans="12:14" ht="13" x14ac:dyDescent="0.15">
      <c r="L619" s="4"/>
      <c r="M619" s="4"/>
      <c r="N619" s="4"/>
    </row>
    <row r="620" spans="12:14" ht="13" x14ac:dyDescent="0.15">
      <c r="L620" s="4"/>
      <c r="M620" s="4"/>
      <c r="N620" s="4"/>
    </row>
    <row r="621" spans="12:14" ht="13" x14ac:dyDescent="0.15">
      <c r="L621" s="4"/>
      <c r="M621" s="4"/>
      <c r="N621" s="4"/>
    </row>
    <row r="622" spans="12:14" ht="13" x14ac:dyDescent="0.15">
      <c r="L622" s="4"/>
      <c r="M622" s="4"/>
      <c r="N622" s="4"/>
    </row>
    <row r="623" spans="12:14" ht="13" x14ac:dyDescent="0.15">
      <c r="L623" s="4"/>
      <c r="M623" s="4"/>
      <c r="N623" s="4"/>
    </row>
    <row r="624" spans="12:14" ht="13" x14ac:dyDescent="0.15">
      <c r="L624" s="4"/>
      <c r="M624" s="4"/>
      <c r="N624" s="4"/>
    </row>
    <row r="625" spans="12:14" ht="13" x14ac:dyDescent="0.15">
      <c r="L625" s="4"/>
      <c r="M625" s="4"/>
      <c r="N625" s="4"/>
    </row>
    <row r="626" spans="12:14" ht="13" x14ac:dyDescent="0.15">
      <c r="L626" s="4"/>
      <c r="M626" s="4"/>
      <c r="N626" s="4"/>
    </row>
    <row r="627" spans="12:14" ht="13" x14ac:dyDescent="0.15">
      <c r="L627" s="4"/>
      <c r="M627" s="4"/>
      <c r="N627" s="4"/>
    </row>
    <row r="628" spans="12:14" ht="13" x14ac:dyDescent="0.15">
      <c r="L628" s="4"/>
      <c r="M628" s="4"/>
      <c r="N628" s="4"/>
    </row>
    <row r="629" spans="12:14" ht="13" x14ac:dyDescent="0.15">
      <c r="L629" s="4"/>
      <c r="M629" s="4"/>
      <c r="N629" s="4"/>
    </row>
    <row r="630" spans="12:14" ht="13" x14ac:dyDescent="0.15">
      <c r="L630" s="4"/>
      <c r="M630" s="4"/>
      <c r="N630" s="4"/>
    </row>
    <row r="631" spans="12:14" ht="13" x14ac:dyDescent="0.15">
      <c r="L631" s="4"/>
      <c r="M631" s="4"/>
      <c r="N631" s="4"/>
    </row>
    <row r="632" spans="12:14" ht="13" x14ac:dyDescent="0.15">
      <c r="L632" s="4"/>
      <c r="M632" s="4"/>
      <c r="N632" s="4"/>
    </row>
    <row r="633" spans="12:14" ht="13" x14ac:dyDescent="0.15">
      <c r="L633" s="4"/>
      <c r="M633" s="4"/>
      <c r="N633" s="4"/>
    </row>
    <row r="634" spans="12:14" ht="13" x14ac:dyDescent="0.15">
      <c r="L634" s="4"/>
      <c r="M634" s="4"/>
      <c r="N634" s="4"/>
    </row>
    <row r="635" spans="12:14" ht="13" x14ac:dyDescent="0.15">
      <c r="L635" s="4"/>
      <c r="M635" s="4"/>
      <c r="N635" s="4"/>
    </row>
    <row r="636" spans="12:14" ht="13" x14ac:dyDescent="0.15">
      <c r="L636" s="4"/>
      <c r="M636" s="4"/>
      <c r="N636" s="4"/>
    </row>
    <row r="637" spans="12:14" ht="13" x14ac:dyDescent="0.15">
      <c r="L637" s="4"/>
      <c r="M637" s="4"/>
      <c r="N637" s="4"/>
    </row>
    <row r="638" spans="12:14" ht="13" x14ac:dyDescent="0.15">
      <c r="L638" s="4"/>
      <c r="M638" s="4"/>
      <c r="N638" s="4"/>
    </row>
    <row r="639" spans="12:14" ht="13" x14ac:dyDescent="0.15">
      <c r="L639" s="4"/>
      <c r="M639" s="4"/>
      <c r="N639" s="4"/>
    </row>
    <row r="640" spans="12:14" ht="13" x14ac:dyDescent="0.15">
      <c r="L640" s="4"/>
      <c r="M640" s="4"/>
      <c r="N640" s="4"/>
    </row>
    <row r="641" spans="12:14" ht="13" x14ac:dyDescent="0.15">
      <c r="L641" s="4"/>
      <c r="M641" s="4"/>
      <c r="N641" s="4"/>
    </row>
    <row r="642" spans="12:14" ht="13" x14ac:dyDescent="0.15">
      <c r="L642" s="4"/>
      <c r="M642" s="4"/>
      <c r="N642" s="4"/>
    </row>
    <row r="643" spans="12:14" ht="13" x14ac:dyDescent="0.15">
      <c r="L643" s="4"/>
      <c r="M643" s="4"/>
      <c r="N643" s="4"/>
    </row>
    <row r="644" spans="12:14" ht="13" x14ac:dyDescent="0.15">
      <c r="L644" s="4"/>
      <c r="M644" s="4"/>
      <c r="N644" s="4"/>
    </row>
    <row r="645" spans="12:14" ht="13" x14ac:dyDescent="0.15">
      <c r="L645" s="4"/>
      <c r="M645" s="4"/>
      <c r="N645" s="4"/>
    </row>
    <row r="646" spans="12:14" ht="13" x14ac:dyDescent="0.15">
      <c r="L646" s="4"/>
      <c r="M646" s="4"/>
      <c r="N646" s="4"/>
    </row>
    <row r="647" spans="12:14" ht="13" x14ac:dyDescent="0.15">
      <c r="L647" s="4"/>
      <c r="M647" s="4"/>
      <c r="N647" s="4"/>
    </row>
    <row r="648" spans="12:14" ht="13" x14ac:dyDescent="0.15">
      <c r="L648" s="4"/>
      <c r="M648" s="4"/>
      <c r="N648" s="4"/>
    </row>
    <row r="649" spans="12:14" ht="13" x14ac:dyDescent="0.15">
      <c r="L649" s="4"/>
      <c r="M649" s="4"/>
      <c r="N649" s="4"/>
    </row>
    <row r="650" spans="12:14" ht="13" x14ac:dyDescent="0.15">
      <c r="L650" s="4"/>
      <c r="M650" s="4"/>
      <c r="N650" s="4"/>
    </row>
    <row r="651" spans="12:14" ht="13" x14ac:dyDescent="0.15">
      <c r="L651" s="4"/>
      <c r="M651" s="4"/>
      <c r="N651" s="4"/>
    </row>
    <row r="652" spans="12:14" ht="13" x14ac:dyDescent="0.15">
      <c r="L652" s="4"/>
      <c r="M652" s="4"/>
      <c r="N652" s="4"/>
    </row>
    <row r="653" spans="12:14" ht="13" x14ac:dyDescent="0.15">
      <c r="L653" s="4"/>
      <c r="M653" s="4"/>
      <c r="N653" s="4"/>
    </row>
    <row r="654" spans="12:14" ht="13" x14ac:dyDescent="0.15">
      <c r="L654" s="4"/>
      <c r="M654" s="4"/>
      <c r="N654" s="4"/>
    </row>
    <row r="655" spans="12:14" ht="13" x14ac:dyDescent="0.15">
      <c r="L655" s="4"/>
      <c r="M655" s="4"/>
      <c r="N655" s="4"/>
    </row>
    <row r="656" spans="12:14" ht="13" x14ac:dyDescent="0.15">
      <c r="L656" s="4"/>
      <c r="M656" s="4"/>
      <c r="N656" s="4"/>
    </row>
    <row r="657" spans="12:14" ht="13" x14ac:dyDescent="0.15">
      <c r="L657" s="4"/>
      <c r="M657" s="4"/>
      <c r="N657" s="4"/>
    </row>
    <row r="658" spans="12:14" ht="13" x14ac:dyDescent="0.15">
      <c r="L658" s="4"/>
      <c r="M658" s="4"/>
      <c r="N658" s="4"/>
    </row>
    <row r="659" spans="12:14" ht="13" x14ac:dyDescent="0.15">
      <c r="L659" s="4"/>
      <c r="M659" s="4"/>
      <c r="N659" s="4"/>
    </row>
    <row r="660" spans="12:14" ht="13" x14ac:dyDescent="0.15">
      <c r="L660" s="4"/>
      <c r="M660" s="4"/>
      <c r="N660" s="4"/>
    </row>
    <row r="661" spans="12:14" ht="13" x14ac:dyDescent="0.15">
      <c r="L661" s="4"/>
      <c r="M661" s="4"/>
      <c r="N661" s="4"/>
    </row>
    <row r="662" spans="12:14" ht="13" x14ac:dyDescent="0.15">
      <c r="L662" s="4"/>
      <c r="M662" s="4"/>
      <c r="N662" s="4"/>
    </row>
    <row r="663" spans="12:14" ht="13" x14ac:dyDescent="0.15">
      <c r="L663" s="4"/>
      <c r="M663" s="4"/>
      <c r="N663" s="4"/>
    </row>
    <row r="664" spans="12:14" ht="13" x14ac:dyDescent="0.15">
      <c r="L664" s="4"/>
      <c r="M664" s="4"/>
      <c r="N664" s="4"/>
    </row>
    <row r="665" spans="12:14" ht="13" x14ac:dyDescent="0.15">
      <c r="L665" s="4"/>
      <c r="M665" s="4"/>
      <c r="N665" s="4"/>
    </row>
    <row r="666" spans="12:14" ht="13" x14ac:dyDescent="0.15">
      <c r="L666" s="4"/>
      <c r="M666" s="4"/>
      <c r="N666" s="4"/>
    </row>
    <row r="667" spans="12:14" ht="13" x14ac:dyDescent="0.15">
      <c r="L667" s="4"/>
      <c r="M667" s="4"/>
      <c r="N667" s="4"/>
    </row>
    <row r="668" spans="12:14" ht="13" x14ac:dyDescent="0.15">
      <c r="L668" s="4"/>
      <c r="M668" s="4"/>
      <c r="N668" s="4"/>
    </row>
    <row r="669" spans="12:14" ht="13" x14ac:dyDescent="0.15">
      <c r="L669" s="4"/>
      <c r="M669" s="4"/>
      <c r="N669" s="4"/>
    </row>
    <row r="670" spans="12:14" ht="13" x14ac:dyDescent="0.15">
      <c r="L670" s="4"/>
      <c r="M670" s="4"/>
      <c r="N670" s="4"/>
    </row>
    <row r="671" spans="12:14" ht="13" x14ac:dyDescent="0.15">
      <c r="L671" s="4"/>
      <c r="M671" s="4"/>
      <c r="N671" s="4"/>
    </row>
    <row r="672" spans="12:14" ht="13" x14ac:dyDescent="0.15">
      <c r="L672" s="4"/>
      <c r="M672" s="4"/>
      <c r="N672" s="4"/>
    </row>
    <row r="673" spans="12:14" ht="13" x14ac:dyDescent="0.15">
      <c r="L673" s="4"/>
      <c r="M673" s="4"/>
      <c r="N673" s="4"/>
    </row>
    <row r="674" spans="12:14" ht="13" x14ac:dyDescent="0.15">
      <c r="L674" s="4"/>
      <c r="M674" s="4"/>
      <c r="N674" s="4"/>
    </row>
    <row r="675" spans="12:14" ht="13" x14ac:dyDescent="0.15">
      <c r="L675" s="4"/>
      <c r="M675" s="4"/>
      <c r="N675" s="4"/>
    </row>
    <row r="676" spans="12:14" ht="13" x14ac:dyDescent="0.15">
      <c r="L676" s="4"/>
      <c r="M676" s="4"/>
      <c r="N676" s="4"/>
    </row>
    <row r="677" spans="12:14" ht="13" x14ac:dyDescent="0.15">
      <c r="L677" s="4"/>
      <c r="M677" s="4"/>
      <c r="N677" s="4"/>
    </row>
    <row r="678" spans="12:14" ht="13" x14ac:dyDescent="0.15">
      <c r="L678" s="4"/>
      <c r="M678" s="4"/>
      <c r="N678" s="4"/>
    </row>
    <row r="679" spans="12:14" ht="13" x14ac:dyDescent="0.15">
      <c r="L679" s="4"/>
      <c r="M679" s="4"/>
      <c r="N679" s="4"/>
    </row>
    <row r="680" spans="12:14" ht="13" x14ac:dyDescent="0.15">
      <c r="L680" s="4"/>
      <c r="M680" s="4"/>
      <c r="N680" s="4"/>
    </row>
    <row r="681" spans="12:14" ht="13" x14ac:dyDescent="0.15">
      <c r="L681" s="4"/>
      <c r="M681" s="4"/>
      <c r="N681" s="4"/>
    </row>
    <row r="682" spans="12:14" ht="13" x14ac:dyDescent="0.15">
      <c r="L682" s="4"/>
      <c r="M682" s="4"/>
      <c r="N682" s="4"/>
    </row>
    <row r="683" spans="12:14" ht="13" x14ac:dyDescent="0.15">
      <c r="L683" s="4"/>
      <c r="M683" s="4"/>
      <c r="N683" s="4"/>
    </row>
    <row r="684" spans="12:14" ht="13" x14ac:dyDescent="0.15">
      <c r="L684" s="4"/>
      <c r="M684" s="4"/>
      <c r="N684" s="4"/>
    </row>
    <row r="685" spans="12:14" ht="13" x14ac:dyDescent="0.15">
      <c r="L685" s="4"/>
      <c r="M685" s="4"/>
      <c r="N685" s="4"/>
    </row>
    <row r="686" spans="12:14" ht="13" x14ac:dyDescent="0.15">
      <c r="L686" s="4"/>
      <c r="M686" s="4"/>
      <c r="N686" s="4"/>
    </row>
    <row r="687" spans="12:14" ht="13" x14ac:dyDescent="0.15">
      <c r="L687" s="4"/>
      <c r="M687" s="4"/>
      <c r="N687" s="4"/>
    </row>
    <row r="688" spans="12:14" ht="13" x14ac:dyDescent="0.15">
      <c r="L688" s="4"/>
      <c r="M688" s="4"/>
      <c r="N688" s="4"/>
    </row>
    <row r="689" spans="12:14" ht="13" x14ac:dyDescent="0.15">
      <c r="L689" s="4"/>
      <c r="M689" s="4"/>
      <c r="N689" s="4"/>
    </row>
    <row r="690" spans="12:14" ht="13" x14ac:dyDescent="0.15">
      <c r="L690" s="4"/>
      <c r="M690" s="4"/>
      <c r="N690" s="4"/>
    </row>
    <row r="691" spans="12:14" ht="13" x14ac:dyDescent="0.15">
      <c r="L691" s="4"/>
      <c r="M691" s="4"/>
      <c r="N691" s="4"/>
    </row>
    <row r="692" spans="12:14" ht="13" x14ac:dyDescent="0.15">
      <c r="L692" s="4"/>
      <c r="M692" s="4"/>
      <c r="N692" s="4"/>
    </row>
    <row r="693" spans="12:14" ht="13" x14ac:dyDescent="0.15">
      <c r="L693" s="4"/>
      <c r="M693" s="4"/>
      <c r="N693" s="4"/>
    </row>
    <row r="694" spans="12:14" ht="13" x14ac:dyDescent="0.15">
      <c r="L694" s="4"/>
      <c r="M694" s="4"/>
      <c r="N694" s="4"/>
    </row>
    <row r="695" spans="12:14" ht="13" x14ac:dyDescent="0.15">
      <c r="L695" s="4"/>
      <c r="M695" s="4"/>
      <c r="N695" s="4"/>
    </row>
    <row r="696" spans="12:14" ht="13" x14ac:dyDescent="0.15">
      <c r="L696" s="4"/>
      <c r="M696" s="4"/>
      <c r="N696" s="4"/>
    </row>
    <row r="697" spans="12:14" ht="13" x14ac:dyDescent="0.15">
      <c r="L697" s="4"/>
      <c r="M697" s="4"/>
      <c r="N697" s="4"/>
    </row>
    <row r="698" spans="12:14" ht="13" x14ac:dyDescent="0.15">
      <c r="L698" s="4"/>
      <c r="M698" s="4"/>
      <c r="N698" s="4"/>
    </row>
    <row r="699" spans="12:14" ht="13" x14ac:dyDescent="0.15">
      <c r="L699" s="4"/>
      <c r="M699" s="4"/>
      <c r="N699" s="4"/>
    </row>
    <row r="700" spans="12:14" ht="13" x14ac:dyDescent="0.15">
      <c r="L700" s="4"/>
      <c r="M700" s="4"/>
      <c r="N700" s="4"/>
    </row>
    <row r="701" spans="12:14" ht="13" x14ac:dyDescent="0.15">
      <c r="L701" s="4"/>
      <c r="M701" s="4"/>
      <c r="N701" s="4"/>
    </row>
    <row r="702" spans="12:14" ht="13" x14ac:dyDescent="0.15">
      <c r="L702" s="4"/>
      <c r="M702" s="4"/>
      <c r="N702" s="4"/>
    </row>
    <row r="703" spans="12:14" ht="13" x14ac:dyDescent="0.15">
      <c r="L703" s="4"/>
      <c r="M703" s="4"/>
      <c r="N703" s="4"/>
    </row>
    <row r="704" spans="12:14" ht="13" x14ac:dyDescent="0.15">
      <c r="L704" s="4"/>
      <c r="M704" s="4"/>
      <c r="N704" s="4"/>
    </row>
    <row r="705" spans="12:14" ht="13" x14ac:dyDescent="0.15">
      <c r="L705" s="4"/>
      <c r="M705" s="4"/>
      <c r="N705" s="4"/>
    </row>
    <row r="706" spans="12:14" ht="13" x14ac:dyDescent="0.15">
      <c r="L706" s="4"/>
      <c r="M706" s="4"/>
      <c r="N706" s="4"/>
    </row>
    <row r="707" spans="12:14" ht="13" x14ac:dyDescent="0.15">
      <c r="L707" s="4"/>
      <c r="M707" s="4"/>
      <c r="N707" s="4"/>
    </row>
    <row r="708" spans="12:14" ht="13" x14ac:dyDescent="0.15">
      <c r="L708" s="4"/>
      <c r="M708" s="4"/>
      <c r="N708" s="4"/>
    </row>
    <row r="709" spans="12:14" ht="13" x14ac:dyDescent="0.15">
      <c r="L709" s="4"/>
      <c r="M709" s="4"/>
      <c r="N709" s="4"/>
    </row>
    <row r="710" spans="12:14" ht="13" x14ac:dyDescent="0.15">
      <c r="L710" s="4"/>
      <c r="M710" s="4"/>
      <c r="N710" s="4"/>
    </row>
    <row r="711" spans="12:14" ht="13" x14ac:dyDescent="0.15">
      <c r="L711" s="4"/>
      <c r="M711" s="4"/>
      <c r="N711" s="4"/>
    </row>
    <row r="712" spans="12:14" ht="13" x14ac:dyDescent="0.15">
      <c r="L712" s="4"/>
      <c r="M712" s="4"/>
      <c r="N712" s="4"/>
    </row>
    <row r="713" spans="12:14" ht="13" x14ac:dyDescent="0.15">
      <c r="L713" s="4"/>
      <c r="M713" s="4"/>
      <c r="N713" s="4"/>
    </row>
    <row r="714" spans="12:14" ht="13" x14ac:dyDescent="0.15">
      <c r="L714" s="4"/>
      <c r="M714" s="4"/>
      <c r="N714" s="4"/>
    </row>
    <row r="715" spans="12:14" ht="13" x14ac:dyDescent="0.15">
      <c r="L715" s="4"/>
      <c r="M715" s="4"/>
      <c r="N715" s="4"/>
    </row>
    <row r="716" spans="12:14" ht="13" x14ac:dyDescent="0.15">
      <c r="L716" s="4"/>
      <c r="M716" s="4"/>
      <c r="N716" s="4"/>
    </row>
    <row r="717" spans="12:14" ht="13" x14ac:dyDescent="0.15">
      <c r="L717" s="4"/>
      <c r="M717" s="4"/>
      <c r="N717" s="4"/>
    </row>
    <row r="718" spans="12:14" ht="13" x14ac:dyDescent="0.15">
      <c r="L718" s="4"/>
      <c r="M718" s="4"/>
      <c r="N718" s="4"/>
    </row>
    <row r="719" spans="12:14" ht="13" x14ac:dyDescent="0.15">
      <c r="L719" s="4"/>
      <c r="M719" s="4"/>
      <c r="N719" s="4"/>
    </row>
    <row r="720" spans="12:14" ht="13" x14ac:dyDescent="0.15">
      <c r="L720" s="4"/>
      <c r="M720" s="4"/>
      <c r="N720" s="4"/>
    </row>
    <row r="721" spans="12:14" ht="13" x14ac:dyDescent="0.15">
      <c r="L721" s="4"/>
      <c r="M721" s="4"/>
      <c r="N721" s="4"/>
    </row>
    <row r="722" spans="12:14" ht="13" x14ac:dyDescent="0.15">
      <c r="L722" s="4"/>
      <c r="M722" s="4"/>
      <c r="N722" s="4"/>
    </row>
    <row r="723" spans="12:14" ht="13" x14ac:dyDescent="0.15">
      <c r="L723" s="4"/>
      <c r="M723" s="4"/>
      <c r="N723" s="4"/>
    </row>
    <row r="724" spans="12:14" ht="13" x14ac:dyDescent="0.15">
      <c r="L724" s="4"/>
      <c r="M724" s="4"/>
      <c r="N724" s="4"/>
    </row>
    <row r="725" spans="12:14" ht="13" x14ac:dyDescent="0.15">
      <c r="L725" s="4"/>
      <c r="M725" s="4"/>
      <c r="N725" s="4"/>
    </row>
    <row r="726" spans="12:14" ht="13" x14ac:dyDescent="0.15">
      <c r="L726" s="4"/>
      <c r="M726" s="4"/>
      <c r="N726" s="4"/>
    </row>
    <row r="727" spans="12:14" ht="13" x14ac:dyDescent="0.15">
      <c r="L727" s="4"/>
      <c r="M727" s="4"/>
      <c r="N727" s="4"/>
    </row>
    <row r="728" spans="12:14" ht="13" x14ac:dyDescent="0.15">
      <c r="L728" s="4"/>
      <c r="M728" s="4"/>
      <c r="N728" s="4"/>
    </row>
    <row r="729" spans="12:14" ht="13" x14ac:dyDescent="0.15">
      <c r="L729" s="4"/>
      <c r="M729" s="4"/>
      <c r="N729" s="4"/>
    </row>
    <row r="730" spans="12:14" ht="13" x14ac:dyDescent="0.15">
      <c r="L730" s="4"/>
      <c r="M730" s="4"/>
      <c r="N730" s="4"/>
    </row>
    <row r="731" spans="12:14" ht="13" x14ac:dyDescent="0.15">
      <c r="L731" s="4"/>
      <c r="M731" s="4"/>
      <c r="N731" s="4"/>
    </row>
    <row r="732" spans="12:14" ht="13" x14ac:dyDescent="0.15">
      <c r="L732" s="4"/>
      <c r="M732" s="4"/>
      <c r="N732" s="4"/>
    </row>
    <row r="733" spans="12:14" ht="13" x14ac:dyDescent="0.15">
      <c r="L733" s="4"/>
      <c r="M733" s="4"/>
      <c r="N733" s="4"/>
    </row>
    <row r="734" spans="12:14" ht="13" x14ac:dyDescent="0.15">
      <c r="L734" s="4"/>
      <c r="M734" s="4"/>
      <c r="N734" s="4"/>
    </row>
    <row r="735" spans="12:14" ht="13" x14ac:dyDescent="0.15">
      <c r="L735" s="4"/>
      <c r="M735" s="4"/>
      <c r="N735" s="4"/>
    </row>
    <row r="736" spans="12:14" ht="13" x14ac:dyDescent="0.15">
      <c r="L736" s="4"/>
      <c r="M736" s="4"/>
      <c r="N736" s="4"/>
    </row>
    <row r="737" spans="12:14" ht="13" x14ac:dyDescent="0.15">
      <c r="L737" s="4"/>
      <c r="M737" s="4"/>
      <c r="N737" s="4"/>
    </row>
    <row r="738" spans="12:14" ht="13" x14ac:dyDescent="0.15">
      <c r="L738" s="4"/>
      <c r="M738" s="4"/>
      <c r="N738" s="4"/>
    </row>
    <row r="739" spans="12:14" ht="13" x14ac:dyDescent="0.15">
      <c r="L739" s="4"/>
      <c r="M739" s="4"/>
      <c r="N739" s="4"/>
    </row>
    <row r="740" spans="12:14" ht="13" x14ac:dyDescent="0.15">
      <c r="L740" s="4"/>
      <c r="M740" s="4"/>
      <c r="N740" s="4"/>
    </row>
    <row r="741" spans="12:14" ht="13" x14ac:dyDescent="0.15">
      <c r="L741" s="4"/>
      <c r="M741" s="4"/>
      <c r="N741" s="4"/>
    </row>
    <row r="742" spans="12:14" ht="13" x14ac:dyDescent="0.15">
      <c r="L742" s="4"/>
      <c r="M742" s="4"/>
      <c r="N742" s="4"/>
    </row>
    <row r="743" spans="12:14" ht="13" x14ac:dyDescent="0.15">
      <c r="L743" s="4"/>
      <c r="M743" s="4"/>
      <c r="N743" s="4"/>
    </row>
    <row r="744" spans="12:14" ht="13" x14ac:dyDescent="0.15">
      <c r="L744" s="4"/>
      <c r="M744" s="4"/>
      <c r="N744" s="4"/>
    </row>
    <row r="745" spans="12:14" ht="13" x14ac:dyDescent="0.15">
      <c r="L745" s="4"/>
      <c r="M745" s="4"/>
      <c r="N745" s="4"/>
    </row>
    <row r="746" spans="12:14" ht="13" x14ac:dyDescent="0.15">
      <c r="L746" s="4"/>
      <c r="M746" s="4"/>
      <c r="N746" s="4"/>
    </row>
    <row r="747" spans="12:14" ht="13" x14ac:dyDescent="0.15">
      <c r="L747" s="4"/>
      <c r="M747" s="4"/>
      <c r="N747" s="4"/>
    </row>
    <row r="748" spans="12:14" ht="13" x14ac:dyDescent="0.15">
      <c r="L748" s="4"/>
      <c r="M748" s="4"/>
      <c r="N748" s="4"/>
    </row>
    <row r="749" spans="12:14" ht="13" x14ac:dyDescent="0.15">
      <c r="L749" s="4"/>
      <c r="M749" s="4"/>
      <c r="N749" s="4"/>
    </row>
    <row r="750" spans="12:14" ht="13" x14ac:dyDescent="0.15">
      <c r="L750" s="4"/>
      <c r="M750" s="4"/>
      <c r="N750" s="4"/>
    </row>
    <row r="751" spans="12:14" ht="13" x14ac:dyDescent="0.15">
      <c r="L751" s="4"/>
      <c r="M751" s="4"/>
      <c r="N751" s="4"/>
    </row>
    <row r="752" spans="12:14" ht="13" x14ac:dyDescent="0.15">
      <c r="L752" s="4"/>
      <c r="M752" s="4"/>
      <c r="N752" s="4"/>
    </row>
    <row r="753" spans="12:14" ht="13" x14ac:dyDescent="0.15">
      <c r="L753" s="4"/>
      <c r="M753" s="4"/>
      <c r="N753" s="4"/>
    </row>
    <row r="754" spans="12:14" ht="13" x14ac:dyDescent="0.15">
      <c r="L754" s="4"/>
      <c r="M754" s="4"/>
      <c r="N754" s="4"/>
    </row>
    <row r="755" spans="12:14" ht="13" x14ac:dyDescent="0.15">
      <c r="L755" s="4"/>
      <c r="M755" s="4"/>
      <c r="N755" s="4"/>
    </row>
    <row r="756" spans="12:14" ht="13" x14ac:dyDescent="0.15">
      <c r="L756" s="4"/>
      <c r="M756" s="4"/>
      <c r="N756" s="4"/>
    </row>
    <row r="757" spans="12:14" ht="13" x14ac:dyDescent="0.15">
      <c r="L757" s="4"/>
      <c r="M757" s="4"/>
      <c r="N757" s="4"/>
    </row>
    <row r="758" spans="12:14" ht="13" x14ac:dyDescent="0.15">
      <c r="L758" s="4"/>
      <c r="M758" s="4"/>
      <c r="N758" s="4"/>
    </row>
    <row r="759" spans="12:14" ht="13" x14ac:dyDescent="0.15">
      <c r="L759" s="4"/>
      <c r="M759" s="4"/>
      <c r="N759" s="4"/>
    </row>
    <row r="760" spans="12:14" ht="13" x14ac:dyDescent="0.15">
      <c r="L760" s="4"/>
      <c r="M760" s="4"/>
      <c r="N760" s="4"/>
    </row>
    <row r="761" spans="12:14" ht="13" x14ac:dyDescent="0.15">
      <c r="L761" s="4"/>
      <c r="M761" s="4"/>
      <c r="N761" s="4"/>
    </row>
    <row r="762" spans="12:14" ht="13" x14ac:dyDescent="0.15">
      <c r="L762" s="4"/>
      <c r="M762" s="4"/>
      <c r="N762" s="4"/>
    </row>
    <row r="763" spans="12:14" ht="13" x14ac:dyDescent="0.15">
      <c r="L763" s="4"/>
      <c r="M763" s="4"/>
      <c r="N763" s="4"/>
    </row>
    <row r="764" spans="12:14" ht="13" x14ac:dyDescent="0.15">
      <c r="L764" s="4"/>
      <c r="M764" s="4"/>
      <c r="N764" s="4"/>
    </row>
    <row r="765" spans="12:14" ht="13" x14ac:dyDescent="0.15">
      <c r="L765" s="4"/>
      <c r="M765" s="4"/>
      <c r="N765" s="4"/>
    </row>
    <row r="766" spans="12:14" ht="13" x14ac:dyDescent="0.15">
      <c r="L766" s="4"/>
      <c r="M766" s="4"/>
      <c r="N766" s="4"/>
    </row>
    <row r="767" spans="12:14" ht="13" x14ac:dyDescent="0.15">
      <c r="L767" s="4"/>
      <c r="M767" s="4"/>
      <c r="N767" s="4"/>
    </row>
    <row r="768" spans="12:14" ht="13" x14ac:dyDescent="0.15">
      <c r="L768" s="4"/>
      <c r="M768" s="4"/>
      <c r="N768" s="4"/>
    </row>
    <row r="769" spans="12:14" ht="13" x14ac:dyDescent="0.15">
      <c r="L769" s="4"/>
      <c r="M769" s="4"/>
      <c r="N769" s="4"/>
    </row>
    <row r="770" spans="12:14" ht="13" x14ac:dyDescent="0.15">
      <c r="L770" s="4"/>
      <c r="M770" s="4"/>
      <c r="N770" s="4"/>
    </row>
    <row r="771" spans="12:14" ht="13" x14ac:dyDescent="0.15">
      <c r="L771" s="4"/>
      <c r="M771" s="4"/>
      <c r="N771" s="4"/>
    </row>
    <row r="772" spans="12:14" ht="13" x14ac:dyDescent="0.15">
      <c r="L772" s="4"/>
      <c r="M772" s="4"/>
      <c r="N772" s="4"/>
    </row>
    <row r="773" spans="12:14" ht="13" x14ac:dyDescent="0.15">
      <c r="L773" s="4"/>
      <c r="M773" s="4"/>
      <c r="N773" s="4"/>
    </row>
    <row r="774" spans="12:14" ht="13" x14ac:dyDescent="0.15">
      <c r="L774" s="4"/>
      <c r="M774" s="4"/>
      <c r="N774" s="4"/>
    </row>
    <row r="775" spans="12:14" ht="13" x14ac:dyDescent="0.15">
      <c r="L775" s="4"/>
      <c r="M775" s="4"/>
      <c r="N775" s="4"/>
    </row>
    <row r="776" spans="12:14" ht="13" x14ac:dyDescent="0.15">
      <c r="L776" s="4"/>
      <c r="M776" s="4"/>
      <c r="N776" s="4"/>
    </row>
    <row r="777" spans="12:14" ht="13" x14ac:dyDescent="0.15">
      <c r="L777" s="4"/>
      <c r="M777" s="4"/>
      <c r="N777" s="4"/>
    </row>
    <row r="778" spans="12:14" ht="13" x14ac:dyDescent="0.15">
      <c r="L778" s="4"/>
      <c r="M778" s="4"/>
      <c r="N778" s="4"/>
    </row>
    <row r="779" spans="12:14" ht="13" x14ac:dyDescent="0.15">
      <c r="L779" s="4"/>
      <c r="M779" s="4"/>
      <c r="N779" s="4"/>
    </row>
    <row r="780" spans="12:14" ht="13" x14ac:dyDescent="0.15">
      <c r="L780" s="4"/>
      <c r="M780" s="4"/>
      <c r="N780" s="4"/>
    </row>
    <row r="781" spans="12:14" ht="13" x14ac:dyDescent="0.15">
      <c r="L781" s="4"/>
      <c r="M781" s="4"/>
      <c r="N781" s="4"/>
    </row>
    <row r="782" spans="12:14" ht="13" x14ac:dyDescent="0.15">
      <c r="L782" s="4"/>
      <c r="M782" s="4"/>
      <c r="N782" s="4"/>
    </row>
    <row r="783" spans="12:14" ht="13" x14ac:dyDescent="0.15">
      <c r="L783" s="4"/>
      <c r="M783" s="4"/>
      <c r="N783" s="4"/>
    </row>
    <row r="784" spans="12:14" ht="13" x14ac:dyDescent="0.15">
      <c r="L784" s="4"/>
      <c r="M784" s="4"/>
      <c r="N784" s="4"/>
    </row>
    <row r="785" spans="12:14" ht="13" x14ac:dyDescent="0.15">
      <c r="L785" s="4"/>
      <c r="M785" s="4"/>
      <c r="N785" s="4"/>
    </row>
    <row r="786" spans="12:14" ht="13" x14ac:dyDescent="0.15">
      <c r="L786" s="4"/>
      <c r="M786" s="4"/>
      <c r="N786" s="4"/>
    </row>
    <row r="787" spans="12:14" ht="13" x14ac:dyDescent="0.15">
      <c r="L787" s="4"/>
      <c r="M787" s="4"/>
      <c r="N787" s="4"/>
    </row>
    <row r="788" spans="12:14" ht="13" x14ac:dyDescent="0.15">
      <c r="L788" s="4"/>
      <c r="M788" s="4"/>
      <c r="N788" s="4"/>
    </row>
    <row r="789" spans="12:14" ht="13" x14ac:dyDescent="0.15">
      <c r="L789" s="4"/>
      <c r="M789" s="4"/>
      <c r="N789" s="4"/>
    </row>
    <row r="790" spans="12:14" ht="13" x14ac:dyDescent="0.15">
      <c r="L790" s="4"/>
      <c r="M790" s="4"/>
      <c r="N790" s="4"/>
    </row>
    <row r="791" spans="12:14" ht="13" x14ac:dyDescent="0.15">
      <c r="L791" s="4"/>
      <c r="M791" s="4"/>
      <c r="N791" s="4"/>
    </row>
    <row r="792" spans="12:14" ht="13" x14ac:dyDescent="0.15">
      <c r="L792" s="4"/>
      <c r="M792" s="4"/>
      <c r="N792" s="4"/>
    </row>
    <row r="793" spans="12:14" ht="13" x14ac:dyDescent="0.15">
      <c r="L793" s="4"/>
      <c r="M793" s="4"/>
      <c r="N793" s="4"/>
    </row>
    <row r="794" spans="12:14" ht="13" x14ac:dyDescent="0.15">
      <c r="L794" s="4"/>
      <c r="M794" s="4"/>
      <c r="N794" s="4"/>
    </row>
    <row r="795" spans="12:14" ht="13" x14ac:dyDescent="0.15">
      <c r="L795" s="4"/>
      <c r="M795" s="4"/>
      <c r="N795" s="4"/>
    </row>
    <row r="796" spans="12:14" ht="13" x14ac:dyDescent="0.15">
      <c r="L796" s="4"/>
      <c r="M796" s="4"/>
      <c r="N796" s="4"/>
    </row>
    <row r="797" spans="12:14" ht="13" x14ac:dyDescent="0.15">
      <c r="L797" s="4"/>
      <c r="M797" s="4"/>
      <c r="N797" s="4"/>
    </row>
    <row r="798" spans="12:14" ht="13" x14ac:dyDescent="0.15">
      <c r="L798" s="4"/>
      <c r="M798" s="4"/>
      <c r="N798" s="4"/>
    </row>
    <row r="799" spans="12:14" ht="13" x14ac:dyDescent="0.15">
      <c r="L799" s="4"/>
      <c r="M799" s="4"/>
      <c r="N799" s="4"/>
    </row>
    <row r="800" spans="12:14" ht="13" x14ac:dyDescent="0.15">
      <c r="L800" s="4"/>
      <c r="M800" s="4"/>
      <c r="N800" s="4"/>
    </row>
    <row r="801" spans="12:14" ht="13" x14ac:dyDescent="0.15">
      <c r="L801" s="4"/>
      <c r="M801" s="4"/>
      <c r="N801" s="4"/>
    </row>
    <row r="802" spans="12:14" ht="13" x14ac:dyDescent="0.15">
      <c r="L802" s="4"/>
      <c r="M802" s="4"/>
      <c r="N802" s="4"/>
    </row>
    <row r="803" spans="12:14" ht="13" x14ac:dyDescent="0.15">
      <c r="L803" s="4"/>
      <c r="M803" s="4"/>
      <c r="N803" s="4"/>
    </row>
    <row r="804" spans="12:14" ht="13" x14ac:dyDescent="0.15">
      <c r="L804" s="4"/>
      <c r="M804" s="4"/>
      <c r="N804" s="4"/>
    </row>
    <row r="805" spans="12:14" ht="13" x14ac:dyDescent="0.15">
      <c r="L805" s="4"/>
      <c r="M805" s="4"/>
      <c r="N805" s="4"/>
    </row>
    <row r="806" spans="12:14" ht="13" x14ac:dyDescent="0.15">
      <c r="L806" s="4"/>
      <c r="M806" s="4"/>
      <c r="N806" s="4"/>
    </row>
    <row r="807" spans="12:14" ht="13" x14ac:dyDescent="0.15">
      <c r="L807" s="4"/>
      <c r="M807" s="4"/>
      <c r="N807" s="4"/>
    </row>
    <row r="808" spans="12:14" ht="13" x14ac:dyDescent="0.15">
      <c r="L808" s="4"/>
      <c r="M808" s="4"/>
      <c r="N808" s="4"/>
    </row>
    <row r="809" spans="12:14" ht="13" x14ac:dyDescent="0.15">
      <c r="L809" s="4"/>
      <c r="M809" s="4"/>
      <c r="N809" s="4"/>
    </row>
    <row r="810" spans="12:14" ht="13" x14ac:dyDescent="0.15">
      <c r="L810" s="4"/>
      <c r="M810" s="4"/>
      <c r="N810" s="4"/>
    </row>
    <row r="811" spans="12:14" ht="13" x14ac:dyDescent="0.15">
      <c r="L811" s="4"/>
      <c r="M811" s="4"/>
      <c r="N811" s="4"/>
    </row>
    <row r="812" spans="12:14" ht="13" x14ac:dyDescent="0.15">
      <c r="L812" s="4"/>
      <c r="M812" s="4"/>
      <c r="N812" s="4"/>
    </row>
    <row r="813" spans="12:14" ht="13" x14ac:dyDescent="0.15">
      <c r="L813" s="4"/>
      <c r="M813" s="4"/>
      <c r="N813" s="4"/>
    </row>
    <row r="814" spans="12:14" ht="13" x14ac:dyDescent="0.15">
      <c r="L814" s="4"/>
      <c r="M814" s="4"/>
      <c r="N814" s="4"/>
    </row>
    <row r="815" spans="12:14" ht="13" x14ac:dyDescent="0.15">
      <c r="L815" s="4"/>
      <c r="M815" s="4"/>
      <c r="N815" s="4"/>
    </row>
    <row r="816" spans="12:14" ht="13" x14ac:dyDescent="0.15">
      <c r="L816" s="4"/>
      <c r="M816" s="4"/>
      <c r="N816" s="4"/>
    </row>
    <row r="817" spans="12:14" ht="13" x14ac:dyDescent="0.15">
      <c r="L817" s="4"/>
      <c r="M817" s="4"/>
      <c r="N817" s="4"/>
    </row>
    <row r="818" spans="12:14" ht="13" x14ac:dyDescent="0.15">
      <c r="L818" s="4"/>
      <c r="M818" s="4"/>
      <c r="N818" s="4"/>
    </row>
    <row r="819" spans="12:14" ht="13" x14ac:dyDescent="0.15">
      <c r="L819" s="4"/>
      <c r="M819" s="4"/>
      <c r="N819" s="4"/>
    </row>
    <row r="820" spans="12:14" ht="13" x14ac:dyDescent="0.15">
      <c r="L820" s="4"/>
      <c r="M820" s="4"/>
      <c r="N820" s="4"/>
    </row>
    <row r="821" spans="12:14" ht="13" x14ac:dyDescent="0.15">
      <c r="L821" s="4"/>
      <c r="M821" s="4"/>
      <c r="N821" s="4"/>
    </row>
    <row r="822" spans="12:14" ht="13" x14ac:dyDescent="0.15">
      <c r="L822" s="4"/>
      <c r="M822" s="4"/>
      <c r="N822" s="4"/>
    </row>
    <row r="823" spans="12:14" ht="13" x14ac:dyDescent="0.15">
      <c r="L823" s="4"/>
      <c r="M823" s="4"/>
      <c r="N823" s="4"/>
    </row>
    <row r="824" spans="12:14" ht="13" x14ac:dyDescent="0.15">
      <c r="L824" s="4"/>
      <c r="M824" s="4"/>
      <c r="N824" s="4"/>
    </row>
    <row r="825" spans="12:14" ht="13" x14ac:dyDescent="0.15">
      <c r="L825" s="4"/>
      <c r="M825" s="4"/>
      <c r="N825" s="4"/>
    </row>
    <row r="826" spans="12:14" ht="13" x14ac:dyDescent="0.15">
      <c r="L826" s="4"/>
      <c r="M826" s="4"/>
      <c r="N826" s="4"/>
    </row>
    <row r="827" spans="12:14" ht="13" x14ac:dyDescent="0.15">
      <c r="L827" s="4"/>
      <c r="M827" s="4"/>
      <c r="N827" s="4"/>
    </row>
    <row r="828" spans="12:14" ht="13" x14ac:dyDescent="0.15">
      <c r="L828" s="4"/>
      <c r="M828" s="4"/>
      <c r="N828" s="4"/>
    </row>
    <row r="829" spans="12:14" ht="13" x14ac:dyDescent="0.15">
      <c r="L829" s="4"/>
      <c r="M829" s="4"/>
      <c r="N829" s="4"/>
    </row>
    <row r="830" spans="12:14" ht="13" x14ac:dyDescent="0.15">
      <c r="L830" s="4"/>
      <c r="M830" s="4"/>
      <c r="N830" s="4"/>
    </row>
    <row r="831" spans="12:14" ht="13" x14ac:dyDescent="0.15">
      <c r="L831" s="4"/>
      <c r="M831" s="4"/>
      <c r="N831" s="4"/>
    </row>
    <row r="832" spans="12:14" ht="13" x14ac:dyDescent="0.15">
      <c r="L832" s="4"/>
      <c r="M832" s="4"/>
      <c r="N832" s="4"/>
    </row>
    <row r="833" spans="12:14" ht="13" x14ac:dyDescent="0.15">
      <c r="L833" s="4"/>
      <c r="M833" s="4"/>
      <c r="N833" s="4"/>
    </row>
    <row r="834" spans="12:14" ht="13" x14ac:dyDescent="0.15">
      <c r="L834" s="4"/>
      <c r="M834" s="4"/>
      <c r="N834" s="4"/>
    </row>
    <row r="835" spans="12:14" ht="13" x14ac:dyDescent="0.15">
      <c r="L835" s="4"/>
      <c r="M835" s="4"/>
      <c r="N835" s="4"/>
    </row>
    <row r="836" spans="12:14" ht="13" x14ac:dyDescent="0.15">
      <c r="L836" s="4"/>
      <c r="M836" s="4"/>
      <c r="N836" s="4"/>
    </row>
    <row r="837" spans="12:14" ht="13" x14ac:dyDescent="0.15">
      <c r="L837" s="4"/>
      <c r="M837" s="4"/>
      <c r="N837" s="4"/>
    </row>
    <row r="838" spans="12:14" ht="13" x14ac:dyDescent="0.15">
      <c r="L838" s="4"/>
      <c r="M838" s="4"/>
      <c r="N838" s="4"/>
    </row>
    <row r="839" spans="12:14" ht="13" x14ac:dyDescent="0.15">
      <c r="L839" s="4"/>
      <c r="M839" s="4"/>
      <c r="N839" s="4"/>
    </row>
    <row r="840" spans="12:14" ht="13" x14ac:dyDescent="0.15">
      <c r="L840" s="4"/>
      <c r="M840" s="4"/>
      <c r="N840" s="4"/>
    </row>
    <row r="841" spans="12:14" ht="13" x14ac:dyDescent="0.15">
      <c r="L841" s="4"/>
      <c r="M841" s="4"/>
      <c r="N841" s="4"/>
    </row>
    <row r="842" spans="12:14" ht="13" x14ac:dyDescent="0.15">
      <c r="L842" s="4"/>
      <c r="M842" s="4"/>
      <c r="N842" s="4"/>
    </row>
    <row r="843" spans="12:14" ht="13" x14ac:dyDescent="0.15">
      <c r="L843" s="4"/>
      <c r="M843" s="4"/>
      <c r="N843" s="4"/>
    </row>
    <row r="844" spans="12:14" ht="13" x14ac:dyDescent="0.15">
      <c r="L844" s="4"/>
      <c r="M844" s="4"/>
      <c r="N844" s="4"/>
    </row>
    <row r="845" spans="12:14" ht="13" x14ac:dyDescent="0.15">
      <c r="L845" s="4"/>
      <c r="M845" s="4"/>
      <c r="N845" s="4"/>
    </row>
    <row r="846" spans="12:14" ht="13" x14ac:dyDescent="0.15">
      <c r="L846" s="4"/>
      <c r="M846" s="4"/>
      <c r="N846" s="4"/>
    </row>
    <row r="847" spans="12:14" ht="13" x14ac:dyDescent="0.15">
      <c r="L847" s="4"/>
      <c r="M847" s="4"/>
      <c r="N847" s="4"/>
    </row>
    <row r="848" spans="12:14" ht="13" x14ac:dyDescent="0.15">
      <c r="L848" s="4"/>
      <c r="M848" s="4"/>
      <c r="N848" s="4"/>
    </row>
    <row r="849" spans="12:14" ht="13" x14ac:dyDescent="0.15">
      <c r="L849" s="4"/>
      <c r="M849" s="4"/>
      <c r="N849" s="4"/>
    </row>
    <row r="850" spans="12:14" ht="13" x14ac:dyDescent="0.15">
      <c r="L850" s="4"/>
      <c r="M850" s="4"/>
      <c r="N850" s="4"/>
    </row>
    <row r="851" spans="12:14" ht="13" x14ac:dyDescent="0.15">
      <c r="L851" s="4"/>
      <c r="M851" s="4"/>
      <c r="N851" s="4"/>
    </row>
    <row r="852" spans="12:14" ht="13" x14ac:dyDescent="0.15">
      <c r="L852" s="4"/>
      <c r="M852" s="4"/>
      <c r="N852" s="4"/>
    </row>
    <row r="853" spans="12:14" ht="13" x14ac:dyDescent="0.15">
      <c r="L853" s="4"/>
      <c r="M853" s="4"/>
      <c r="N853" s="4"/>
    </row>
    <row r="854" spans="12:14" ht="13" x14ac:dyDescent="0.15">
      <c r="L854" s="4"/>
      <c r="M854" s="4"/>
      <c r="N854" s="4"/>
    </row>
    <row r="855" spans="12:14" ht="13" x14ac:dyDescent="0.15">
      <c r="L855" s="4"/>
      <c r="M855" s="4"/>
      <c r="N855" s="4"/>
    </row>
    <row r="856" spans="12:14" ht="13" x14ac:dyDescent="0.15">
      <c r="L856" s="4"/>
      <c r="M856" s="4"/>
      <c r="N856" s="4"/>
    </row>
    <row r="857" spans="12:14" ht="13" x14ac:dyDescent="0.15">
      <c r="L857" s="4"/>
      <c r="M857" s="4"/>
      <c r="N857" s="4"/>
    </row>
    <row r="858" spans="12:14" ht="13" x14ac:dyDescent="0.15">
      <c r="L858" s="4"/>
      <c r="M858" s="4"/>
      <c r="N858" s="4"/>
    </row>
    <row r="859" spans="12:14" ht="13" x14ac:dyDescent="0.15">
      <c r="L859" s="4"/>
      <c r="M859" s="4"/>
      <c r="N859" s="4"/>
    </row>
    <row r="860" spans="12:14" ht="13" x14ac:dyDescent="0.15">
      <c r="L860" s="4"/>
      <c r="M860" s="4"/>
      <c r="N860" s="4"/>
    </row>
    <row r="861" spans="12:14" ht="13" x14ac:dyDescent="0.15">
      <c r="L861" s="4"/>
      <c r="M861" s="4"/>
      <c r="N861" s="4"/>
    </row>
    <row r="862" spans="12:14" ht="13" x14ac:dyDescent="0.15">
      <c r="L862" s="4"/>
      <c r="M862" s="4"/>
      <c r="N862" s="4"/>
    </row>
    <row r="863" spans="12:14" ht="13" x14ac:dyDescent="0.15">
      <c r="L863" s="4"/>
      <c r="M863" s="4"/>
      <c r="N863" s="4"/>
    </row>
    <row r="864" spans="12:14" ht="13" x14ac:dyDescent="0.15">
      <c r="L864" s="4"/>
      <c r="M864" s="4"/>
      <c r="N864" s="4"/>
    </row>
    <row r="865" spans="12:14" ht="13" x14ac:dyDescent="0.15">
      <c r="L865" s="4"/>
      <c r="M865" s="4"/>
      <c r="N865" s="4"/>
    </row>
    <row r="866" spans="12:14" ht="13" x14ac:dyDescent="0.15">
      <c r="L866" s="4"/>
      <c r="M866" s="4"/>
      <c r="N866" s="4"/>
    </row>
    <row r="867" spans="12:14" ht="13" x14ac:dyDescent="0.15">
      <c r="L867" s="4"/>
      <c r="M867" s="4"/>
      <c r="N867" s="4"/>
    </row>
    <row r="868" spans="12:14" ht="13" x14ac:dyDescent="0.15">
      <c r="L868" s="4"/>
      <c r="M868" s="4"/>
      <c r="N868" s="4"/>
    </row>
    <row r="869" spans="12:14" ht="13" x14ac:dyDescent="0.15">
      <c r="L869" s="4"/>
      <c r="M869" s="4"/>
      <c r="N869" s="4"/>
    </row>
    <row r="870" spans="12:14" ht="13" x14ac:dyDescent="0.15">
      <c r="L870" s="4"/>
      <c r="M870" s="4"/>
      <c r="N870" s="4"/>
    </row>
    <row r="871" spans="12:14" ht="13" x14ac:dyDescent="0.15">
      <c r="L871" s="4"/>
      <c r="M871" s="4"/>
      <c r="N871" s="4"/>
    </row>
    <row r="872" spans="12:14" ht="13" x14ac:dyDescent="0.15">
      <c r="L872" s="4"/>
      <c r="M872" s="4"/>
      <c r="N872" s="4"/>
    </row>
    <row r="873" spans="12:14" ht="13" x14ac:dyDescent="0.15">
      <c r="L873" s="4"/>
      <c r="M873" s="4"/>
      <c r="N873" s="4"/>
    </row>
    <row r="874" spans="12:14" ht="13" x14ac:dyDescent="0.15">
      <c r="L874" s="4"/>
      <c r="M874" s="4"/>
      <c r="N874" s="4"/>
    </row>
    <row r="875" spans="12:14" ht="13" x14ac:dyDescent="0.15">
      <c r="L875" s="4"/>
      <c r="M875" s="4"/>
      <c r="N875" s="4"/>
    </row>
    <row r="876" spans="12:14" ht="13" x14ac:dyDescent="0.15">
      <c r="L876" s="4"/>
      <c r="M876" s="4"/>
      <c r="N876" s="4"/>
    </row>
    <row r="877" spans="12:14" ht="13" x14ac:dyDescent="0.15">
      <c r="L877" s="4"/>
      <c r="M877" s="4"/>
      <c r="N877" s="4"/>
    </row>
    <row r="878" spans="12:14" ht="13" x14ac:dyDescent="0.15">
      <c r="L878" s="4"/>
      <c r="M878" s="4"/>
      <c r="N878" s="4"/>
    </row>
    <row r="879" spans="12:14" ht="13" x14ac:dyDescent="0.15">
      <c r="L879" s="4"/>
      <c r="M879" s="4"/>
      <c r="N879" s="4"/>
    </row>
    <row r="880" spans="12:14" ht="13" x14ac:dyDescent="0.15">
      <c r="L880" s="4"/>
      <c r="M880" s="4"/>
      <c r="N880" s="4"/>
    </row>
    <row r="881" spans="12:14" ht="13" x14ac:dyDescent="0.15">
      <c r="L881" s="4"/>
      <c r="M881" s="4"/>
      <c r="N881" s="4"/>
    </row>
    <row r="882" spans="12:14" ht="13" x14ac:dyDescent="0.15">
      <c r="L882" s="4"/>
      <c r="M882" s="4"/>
      <c r="N882" s="4"/>
    </row>
    <row r="883" spans="12:14" ht="13" x14ac:dyDescent="0.15">
      <c r="L883" s="4"/>
      <c r="M883" s="4"/>
      <c r="N883" s="4"/>
    </row>
    <row r="884" spans="12:14" ht="13" x14ac:dyDescent="0.15">
      <c r="L884" s="4"/>
      <c r="M884" s="4"/>
      <c r="N884" s="4"/>
    </row>
    <row r="885" spans="12:14" ht="13" x14ac:dyDescent="0.15">
      <c r="L885" s="4"/>
      <c r="M885" s="4"/>
      <c r="N885" s="4"/>
    </row>
    <row r="886" spans="12:14" ht="13" x14ac:dyDescent="0.15">
      <c r="L886" s="4"/>
      <c r="M886" s="4"/>
      <c r="N886" s="4"/>
    </row>
    <row r="887" spans="12:14" ht="13" x14ac:dyDescent="0.15">
      <c r="L887" s="4"/>
      <c r="M887" s="4"/>
      <c r="N887" s="4"/>
    </row>
    <row r="888" spans="12:14" ht="13" x14ac:dyDescent="0.15">
      <c r="L888" s="4"/>
      <c r="M888" s="4"/>
      <c r="N888" s="4"/>
    </row>
    <row r="889" spans="12:14" ht="13" x14ac:dyDescent="0.15">
      <c r="L889" s="4"/>
      <c r="M889" s="4"/>
      <c r="N889" s="4"/>
    </row>
    <row r="890" spans="12:14" ht="13" x14ac:dyDescent="0.15">
      <c r="L890" s="4"/>
      <c r="M890" s="4"/>
      <c r="N890" s="4"/>
    </row>
    <row r="891" spans="12:14" ht="13" x14ac:dyDescent="0.15">
      <c r="L891" s="4"/>
      <c r="M891" s="4"/>
      <c r="N891" s="4"/>
    </row>
    <row r="892" spans="12:14" ht="13" x14ac:dyDescent="0.15">
      <c r="L892" s="4"/>
      <c r="M892" s="4"/>
      <c r="N892" s="4"/>
    </row>
    <row r="893" spans="12:14" ht="13" x14ac:dyDescent="0.15">
      <c r="L893" s="4"/>
      <c r="M893" s="4"/>
      <c r="N893" s="4"/>
    </row>
    <row r="894" spans="12:14" ht="13" x14ac:dyDescent="0.15">
      <c r="L894" s="4"/>
      <c r="M894" s="4"/>
      <c r="N894" s="4"/>
    </row>
    <row r="895" spans="12:14" ht="13" x14ac:dyDescent="0.15">
      <c r="L895" s="4"/>
      <c r="M895" s="4"/>
      <c r="N895" s="4"/>
    </row>
    <row r="896" spans="12:14" ht="13" x14ac:dyDescent="0.15">
      <c r="L896" s="4"/>
      <c r="M896" s="4"/>
      <c r="N896" s="4"/>
    </row>
    <row r="897" spans="12:14" ht="13" x14ac:dyDescent="0.15">
      <c r="L897" s="4"/>
      <c r="M897" s="4"/>
      <c r="N897" s="4"/>
    </row>
    <row r="898" spans="12:14" ht="13" x14ac:dyDescent="0.15">
      <c r="L898" s="4"/>
      <c r="M898" s="4"/>
      <c r="N898" s="4"/>
    </row>
    <row r="899" spans="12:14" ht="13" x14ac:dyDescent="0.15">
      <c r="L899" s="4"/>
      <c r="M899" s="4"/>
      <c r="N899" s="4"/>
    </row>
    <row r="900" spans="12:14" ht="13" x14ac:dyDescent="0.15">
      <c r="L900" s="4"/>
      <c r="M900" s="4"/>
      <c r="N900" s="4"/>
    </row>
    <row r="901" spans="12:14" ht="13" x14ac:dyDescent="0.15">
      <c r="L901" s="4"/>
      <c r="M901" s="4"/>
      <c r="N901" s="4"/>
    </row>
    <row r="902" spans="12:14" ht="13" x14ac:dyDescent="0.15">
      <c r="L902" s="4"/>
      <c r="M902" s="4"/>
      <c r="N902" s="4"/>
    </row>
    <row r="903" spans="12:14" ht="13" x14ac:dyDescent="0.15">
      <c r="L903" s="4"/>
      <c r="M903" s="4"/>
      <c r="N903" s="4"/>
    </row>
    <row r="904" spans="12:14" ht="13" x14ac:dyDescent="0.15">
      <c r="L904" s="4"/>
      <c r="M904" s="4"/>
      <c r="N904" s="4"/>
    </row>
    <row r="905" spans="12:14" ht="13" x14ac:dyDescent="0.15">
      <c r="L905" s="4"/>
      <c r="M905" s="4"/>
      <c r="N905" s="4"/>
    </row>
    <row r="906" spans="12:14" ht="13" x14ac:dyDescent="0.15">
      <c r="L906" s="4"/>
      <c r="M906" s="4"/>
      <c r="N906" s="4"/>
    </row>
    <row r="907" spans="12:14" ht="13" x14ac:dyDescent="0.15">
      <c r="L907" s="4"/>
      <c r="M907" s="4"/>
      <c r="N907" s="4"/>
    </row>
    <row r="908" spans="12:14" ht="13" x14ac:dyDescent="0.15">
      <c r="L908" s="4"/>
      <c r="M908" s="4"/>
      <c r="N908" s="4"/>
    </row>
    <row r="909" spans="12:14" ht="13" x14ac:dyDescent="0.15">
      <c r="L909" s="4"/>
      <c r="M909" s="4"/>
      <c r="N909" s="4"/>
    </row>
    <row r="910" spans="12:14" ht="13" x14ac:dyDescent="0.15">
      <c r="L910" s="4"/>
      <c r="M910" s="4"/>
      <c r="N910" s="4"/>
    </row>
    <row r="911" spans="12:14" ht="13" x14ac:dyDescent="0.15">
      <c r="L911" s="4"/>
      <c r="M911" s="4"/>
      <c r="N911" s="4"/>
    </row>
    <row r="912" spans="12:14" ht="13" x14ac:dyDescent="0.15">
      <c r="L912" s="4"/>
      <c r="M912" s="4"/>
      <c r="N912" s="4"/>
    </row>
    <row r="913" spans="12:14" ht="13" x14ac:dyDescent="0.15">
      <c r="L913" s="4"/>
      <c r="M913" s="4"/>
      <c r="N913" s="4"/>
    </row>
    <row r="914" spans="12:14" ht="13" x14ac:dyDescent="0.15">
      <c r="L914" s="4"/>
      <c r="M914" s="4"/>
      <c r="N914" s="4"/>
    </row>
    <row r="915" spans="12:14" ht="13" x14ac:dyDescent="0.15">
      <c r="L915" s="4"/>
      <c r="M915" s="4"/>
      <c r="N915" s="4"/>
    </row>
    <row r="916" spans="12:14" ht="13" x14ac:dyDescent="0.15">
      <c r="L916" s="4"/>
      <c r="M916" s="4"/>
      <c r="N916" s="4"/>
    </row>
    <row r="917" spans="12:14" ht="13" x14ac:dyDescent="0.15">
      <c r="L917" s="4"/>
      <c r="M917" s="4"/>
      <c r="N917" s="4"/>
    </row>
    <row r="918" spans="12:14" ht="13" x14ac:dyDescent="0.15">
      <c r="L918" s="4"/>
      <c r="M918" s="4"/>
      <c r="N918" s="4"/>
    </row>
    <row r="919" spans="12:14" ht="13" x14ac:dyDescent="0.15">
      <c r="L919" s="4"/>
      <c r="M919" s="4"/>
      <c r="N919" s="4"/>
    </row>
    <row r="920" spans="12:14" ht="13" x14ac:dyDescent="0.15">
      <c r="L920" s="4"/>
      <c r="M920" s="4"/>
      <c r="N920" s="4"/>
    </row>
    <row r="921" spans="12:14" ht="13" x14ac:dyDescent="0.15">
      <c r="L921" s="4"/>
      <c r="M921" s="4"/>
      <c r="N921" s="4"/>
    </row>
    <row r="922" spans="12:14" ht="13" x14ac:dyDescent="0.15">
      <c r="L922" s="4"/>
      <c r="M922" s="4"/>
      <c r="N922" s="4"/>
    </row>
    <row r="923" spans="12:14" ht="13" x14ac:dyDescent="0.15">
      <c r="L923" s="4"/>
      <c r="M923" s="4"/>
      <c r="N923" s="4"/>
    </row>
    <row r="924" spans="12:14" ht="13" x14ac:dyDescent="0.15">
      <c r="L924" s="4"/>
      <c r="M924" s="4"/>
      <c r="N924" s="4"/>
    </row>
    <row r="925" spans="12:14" ht="13" x14ac:dyDescent="0.15">
      <c r="L925" s="4"/>
      <c r="M925" s="4"/>
      <c r="N925" s="4"/>
    </row>
    <row r="926" spans="12:14" ht="13" x14ac:dyDescent="0.15">
      <c r="L926" s="4"/>
      <c r="M926" s="4"/>
      <c r="N926" s="4"/>
    </row>
    <row r="927" spans="12:14" ht="13" x14ac:dyDescent="0.15">
      <c r="L927" s="4"/>
      <c r="M927" s="4"/>
      <c r="N927" s="4"/>
    </row>
    <row r="928" spans="12:14" ht="13" x14ac:dyDescent="0.15">
      <c r="L928" s="4"/>
      <c r="M928" s="4"/>
      <c r="N928" s="4"/>
    </row>
    <row r="929" spans="12:14" ht="13" x14ac:dyDescent="0.15">
      <c r="L929" s="4"/>
      <c r="M929" s="4"/>
      <c r="N929" s="4"/>
    </row>
    <row r="930" spans="12:14" ht="13" x14ac:dyDescent="0.15">
      <c r="L930" s="4"/>
      <c r="M930" s="4"/>
      <c r="N930" s="4"/>
    </row>
    <row r="931" spans="12:14" ht="13" x14ac:dyDescent="0.15">
      <c r="L931" s="4"/>
      <c r="M931" s="4"/>
      <c r="N931" s="4"/>
    </row>
    <row r="932" spans="12:14" ht="13" x14ac:dyDescent="0.15">
      <c r="L932" s="4"/>
      <c r="M932" s="4"/>
      <c r="N932" s="4"/>
    </row>
    <row r="933" spans="12:14" ht="13" x14ac:dyDescent="0.15">
      <c r="L933" s="4"/>
      <c r="M933" s="4"/>
      <c r="N933" s="4"/>
    </row>
    <row r="934" spans="12:14" ht="13" x14ac:dyDescent="0.15">
      <c r="L934" s="4"/>
      <c r="M934" s="4"/>
      <c r="N934" s="4"/>
    </row>
    <row r="935" spans="12:14" ht="13" x14ac:dyDescent="0.15">
      <c r="L935" s="4"/>
      <c r="M935" s="4"/>
      <c r="N935" s="4"/>
    </row>
    <row r="936" spans="12:14" ht="13" x14ac:dyDescent="0.15">
      <c r="L936" s="4"/>
      <c r="M936" s="4"/>
      <c r="N936" s="4"/>
    </row>
    <row r="937" spans="12:14" ht="13" x14ac:dyDescent="0.15">
      <c r="L937" s="4"/>
      <c r="M937" s="4"/>
      <c r="N937" s="4"/>
    </row>
    <row r="938" spans="12:14" ht="13" x14ac:dyDescent="0.15">
      <c r="L938" s="4"/>
      <c r="M938" s="4"/>
      <c r="N938" s="4"/>
    </row>
    <row r="939" spans="12:14" ht="13" x14ac:dyDescent="0.15">
      <c r="L939" s="4"/>
      <c r="M939" s="4"/>
      <c r="N939" s="4"/>
    </row>
    <row r="940" spans="12:14" ht="13" x14ac:dyDescent="0.15">
      <c r="L940" s="4"/>
      <c r="M940" s="4"/>
      <c r="N940" s="4"/>
    </row>
    <row r="941" spans="12:14" ht="13" x14ac:dyDescent="0.15">
      <c r="L941" s="4"/>
      <c r="M941" s="4"/>
      <c r="N941" s="4"/>
    </row>
    <row r="942" spans="12:14" ht="13" x14ac:dyDescent="0.15">
      <c r="L942" s="4"/>
      <c r="M942" s="4"/>
      <c r="N942" s="4"/>
    </row>
    <row r="943" spans="12:14" ht="13" x14ac:dyDescent="0.15">
      <c r="L943" s="4"/>
      <c r="M943" s="4"/>
      <c r="N943" s="4"/>
    </row>
    <row r="944" spans="12:14" ht="13" x14ac:dyDescent="0.15">
      <c r="L944" s="4"/>
      <c r="M944" s="4"/>
      <c r="N944" s="4"/>
    </row>
    <row r="945" spans="12:14" ht="13" x14ac:dyDescent="0.15">
      <c r="L945" s="4"/>
      <c r="M945" s="4"/>
      <c r="N945" s="4"/>
    </row>
    <row r="946" spans="12:14" ht="13" x14ac:dyDescent="0.15">
      <c r="L946" s="4"/>
      <c r="M946" s="4"/>
      <c r="N946" s="4"/>
    </row>
    <row r="947" spans="12:14" ht="13" x14ac:dyDescent="0.15">
      <c r="L947" s="4"/>
      <c r="M947" s="4"/>
      <c r="N947" s="4"/>
    </row>
    <row r="948" spans="12:14" ht="13" x14ac:dyDescent="0.15">
      <c r="L948" s="4"/>
      <c r="M948" s="4"/>
      <c r="N948" s="4"/>
    </row>
    <row r="949" spans="12:14" ht="13" x14ac:dyDescent="0.15">
      <c r="L949" s="4"/>
      <c r="M949" s="4"/>
      <c r="N949" s="4"/>
    </row>
    <row r="950" spans="12:14" ht="13" x14ac:dyDescent="0.15">
      <c r="L950" s="4"/>
      <c r="M950" s="4"/>
      <c r="N950" s="4"/>
    </row>
    <row r="951" spans="12:14" ht="13" x14ac:dyDescent="0.15">
      <c r="L951" s="4"/>
      <c r="M951" s="4"/>
      <c r="N951" s="4"/>
    </row>
    <row r="952" spans="12:14" ht="13" x14ac:dyDescent="0.15">
      <c r="L952" s="4"/>
      <c r="M952" s="4"/>
      <c r="N952" s="4"/>
    </row>
    <row r="953" spans="12:14" ht="13" x14ac:dyDescent="0.15">
      <c r="L953" s="4"/>
      <c r="M953" s="4"/>
      <c r="N953" s="4"/>
    </row>
    <row r="954" spans="12:14" ht="13" x14ac:dyDescent="0.15">
      <c r="L954" s="4"/>
      <c r="M954" s="4"/>
      <c r="N954" s="4"/>
    </row>
    <row r="955" spans="12:14" ht="13" x14ac:dyDescent="0.15">
      <c r="L955" s="4"/>
      <c r="M955" s="4"/>
      <c r="N955" s="4"/>
    </row>
    <row r="956" spans="12:14" ht="13" x14ac:dyDescent="0.15">
      <c r="L956" s="4"/>
      <c r="M956" s="4"/>
      <c r="N956" s="4"/>
    </row>
    <row r="957" spans="12:14" ht="13" x14ac:dyDescent="0.15">
      <c r="L957" s="4"/>
      <c r="M957" s="4"/>
      <c r="N957" s="4"/>
    </row>
    <row r="958" spans="12:14" ht="13" x14ac:dyDescent="0.15">
      <c r="L958" s="4"/>
      <c r="M958" s="4"/>
      <c r="N958" s="4"/>
    </row>
    <row r="959" spans="12:14" ht="13" x14ac:dyDescent="0.15">
      <c r="L959" s="4"/>
      <c r="M959" s="4"/>
      <c r="N959" s="4"/>
    </row>
    <row r="960" spans="12:14" ht="13" x14ac:dyDescent="0.15">
      <c r="L960" s="4"/>
      <c r="M960" s="4"/>
      <c r="N960" s="4"/>
    </row>
    <row r="961" spans="12:14" ht="13" x14ac:dyDescent="0.15">
      <c r="L961" s="4"/>
      <c r="M961" s="4"/>
      <c r="N961" s="4"/>
    </row>
    <row r="962" spans="12:14" ht="13" x14ac:dyDescent="0.15">
      <c r="L962" s="4"/>
      <c r="M962" s="4"/>
      <c r="N962" s="4"/>
    </row>
    <row r="963" spans="12:14" ht="13" x14ac:dyDescent="0.15">
      <c r="L963" s="4"/>
      <c r="M963" s="4"/>
      <c r="N963" s="4"/>
    </row>
    <row r="964" spans="12:14" ht="13" x14ac:dyDescent="0.15">
      <c r="L964" s="4"/>
      <c r="M964" s="4"/>
      <c r="N964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W976"/>
  <sheetViews>
    <sheetView topLeftCell="A2" zoomScale="159" zoomScaleNormal="130" workbookViewId="0">
      <selection activeCell="G65" sqref="G65"/>
    </sheetView>
  </sheetViews>
  <sheetFormatPr baseColWidth="10" defaultColWidth="12.6640625" defaultRowHeight="15.75" customHeight="1" x14ac:dyDescent="0.15"/>
  <cols>
    <col min="1" max="1" width="22.6640625" customWidth="1"/>
    <col min="2" max="2" width="10.6640625" customWidth="1"/>
    <col min="3" max="3" width="12.33203125" customWidth="1"/>
    <col min="4" max="4" width="10.5" customWidth="1"/>
    <col min="5" max="5" width="13.6640625" customWidth="1"/>
    <col min="6" max="6" width="20.1640625" customWidth="1"/>
    <col min="7" max="7" width="12.6640625" customWidth="1"/>
    <col min="8" max="8" width="18.83203125" customWidth="1"/>
    <col min="9" max="9" width="12.6640625" customWidth="1"/>
    <col min="10" max="10" width="22.6640625" customWidth="1"/>
    <col min="11" max="12" width="7.1640625" customWidth="1"/>
    <col min="13" max="14" width="7" customWidth="1"/>
    <col min="19" max="19" width="22.6640625" customWidth="1"/>
  </cols>
  <sheetData>
    <row r="1" spans="1:23" ht="15.75" customHeight="1" x14ac:dyDescent="0.25">
      <c r="A1" s="3" t="s">
        <v>73</v>
      </c>
      <c r="J1" s="3" t="s">
        <v>74</v>
      </c>
      <c r="L1" s="4"/>
      <c r="M1" s="4"/>
      <c r="N1" s="4"/>
      <c r="S1" s="3" t="s">
        <v>75</v>
      </c>
      <c r="U1" s="4"/>
      <c r="V1" s="4"/>
      <c r="W1" s="4"/>
    </row>
    <row r="2" spans="1:23" ht="15.75" customHeight="1" x14ac:dyDescent="0.25">
      <c r="A2" s="3" t="s">
        <v>29</v>
      </c>
      <c r="J2" s="3" t="s">
        <v>30</v>
      </c>
      <c r="L2" s="4"/>
      <c r="M2" s="4"/>
      <c r="N2" s="4"/>
      <c r="S2" s="3" t="s">
        <v>76</v>
      </c>
      <c r="U2" s="4"/>
      <c r="V2" s="4"/>
      <c r="W2" s="4"/>
    </row>
    <row r="3" spans="1:23" ht="15.75" customHeight="1" x14ac:dyDescent="0.15">
      <c r="B3" s="5" t="s">
        <v>33</v>
      </c>
      <c r="C3" s="5" t="s">
        <v>34</v>
      </c>
      <c r="D3" s="5" t="s">
        <v>35</v>
      </c>
      <c r="E3" s="5" t="s">
        <v>17</v>
      </c>
      <c r="K3" s="5" t="s">
        <v>33</v>
      </c>
      <c r="L3" s="5" t="s">
        <v>34</v>
      </c>
      <c r="M3" s="5" t="s">
        <v>35</v>
      </c>
      <c r="N3" s="5" t="s">
        <v>17</v>
      </c>
      <c r="P3" s="6"/>
      <c r="T3" s="5" t="s">
        <v>33</v>
      </c>
      <c r="U3" s="5" t="s">
        <v>34</v>
      </c>
      <c r="V3" s="5" t="s">
        <v>35</v>
      </c>
      <c r="W3" s="5" t="s">
        <v>17</v>
      </c>
    </row>
    <row r="4" spans="1:23" ht="15.75" customHeight="1" x14ac:dyDescent="0.15">
      <c r="A4" s="5" t="s">
        <v>10</v>
      </c>
      <c r="B4" s="4">
        <v>0</v>
      </c>
      <c r="C4" s="4">
        <v>0</v>
      </c>
      <c r="D4" s="4">
        <f>SUM(C7:C9)</f>
        <v>6231.6872099999991</v>
      </c>
      <c r="E4" s="5">
        <v>0</v>
      </c>
      <c r="J4" s="5" t="s">
        <v>10</v>
      </c>
      <c r="K4" s="4">
        <v>0</v>
      </c>
      <c r="L4" s="4">
        <v>0</v>
      </c>
      <c r="M4" s="4">
        <f>L7</f>
        <v>6231.6872100000001</v>
      </c>
      <c r="N4" s="4">
        <f t="shared" ref="N4:N20" si="0">K4</f>
        <v>0</v>
      </c>
      <c r="P4" s="6"/>
      <c r="S4" s="5" t="s">
        <v>10</v>
      </c>
      <c r="T4" s="4">
        <v>0</v>
      </c>
      <c r="U4" s="4">
        <v>0</v>
      </c>
      <c r="V4" s="5">
        <f t="shared" ref="V4:V6" si="1">U7</f>
        <v>6231.6872100000001</v>
      </c>
      <c r="W4" s="4">
        <f t="shared" ref="W4:W12" si="2">T4</f>
        <v>0</v>
      </c>
    </row>
    <row r="5" spans="1:23" ht="15.75" customHeight="1" x14ac:dyDescent="0.15">
      <c r="A5" s="5" t="s">
        <v>14</v>
      </c>
      <c r="B5" s="4">
        <v>0</v>
      </c>
      <c r="C5" s="4">
        <v>0</v>
      </c>
      <c r="D5" s="4">
        <f>SUM(C10:C13)</f>
        <v>1751.4095534056919</v>
      </c>
      <c r="E5" s="5">
        <v>0</v>
      </c>
      <c r="J5" s="5" t="s">
        <v>14</v>
      </c>
      <c r="K5" s="4">
        <v>0</v>
      </c>
      <c r="L5" s="4">
        <v>0</v>
      </c>
      <c r="M5" s="4">
        <f>SUM(L8:L10)</f>
        <v>1786.65951933</v>
      </c>
      <c r="N5" s="4">
        <f t="shared" si="0"/>
        <v>0</v>
      </c>
      <c r="P5" s="6"/>
      <c r="S5" s="5" t="s">
        <v>14</v>
      </c>
      <c r="T5" s="4">
        <v>0</v>
      </c>
      <c r="U5" s="4">
        <v>0</v>
      </c>
      <c r="V5" s="4">
        <f t="shared" si="1"/>
        <v>1786.65951933</v>
      </c>
      <c r="W5" s="4">
        <f t="shared" si="2"/>
        <v>0</v>
      </c>
    </row>
    <row r="6" spans="1:23" ht="15.75" customHeight="1" x14ac:dyDescent="0.15">
      <c r="A6" s="5" t="s">
        <v>15</v>
      </c>
      <c r="B6" s="4">
        <v>0</v>
      </c>
      <c r="C6" s="4">
        <v>0</v>
      </c>
      <c r="D6" s="4">
        <f>SUM(C14:C17)</f>
        <v>2977.7658660000006</v>
      </c>
      <c r="E6" s="5">
        <v>0</v>
      </c>
      <c r="J6" s="5" t="s">
        <v>15</v>
      </c>
      <c r="K6" s="4">
        <v>0</v>
      </c>
      <c r="L6" s="4">
        <v>0</v>
      </c>
      <c r="M6" s="4">
        <f>SUM(L11:L13)</f>
        <v>2977.7658655499999</v>
      </c>
      <c r="N6" s="4">
        <f t="shared" si="0"/>
        <v>0</v>
      </c>
      <c r="P6" s="6"/>
      <c r="S6" s="5" t="s">
        <v>15</v>
      </c>
      <c r="T6" s="4">
        <v>0</v>
      </c>
      <c r="U6" s="4">
        <v>0</v>
      </c>
      <c r="V6" s="4">
        <f t="shared" si="1"/>
        <v>2977.7658655499999</v>
      </c>
      <c r="W6" s="4">
        <f t="shared" si="2"/>
        <v>0</v>
      </c>
    </row>
    <row r="7" spans="1:23" ht="15.75" customHeight="1" x14ac:dyDescent="0.15">
      <c r="A7" s="5" t="s">
        <v>38</v>
      </c>
      <c r="B7" s="4">
        <v>0</v>
      </c>
      <c r="C7" s="23">
        <f>SUM(B18:B19)</f>
        <v>4803.3985389251702</v>
      </c>
      <c r="D7" s="5">
        <v>0</v>
      </c>
      <c r="E7" s="5">
        <v>0</v>
      </c>
      <c r="J7" s="5" t="s">
        <v>38</v>
      </c>
      <c r="K7" s="4">
        <v>0</v>
      </c>
      <c r="L7" s="4">
        <f t="shared" ref="L7:L10" si="3">K14</f>
        <v>6231.6872100000001</v>
      </c>
      <c r="M7" s="5">
        <v>0</v>
      </c>
      <c r="N7" s="4">
        <f t="shared" si="0"/>
        <v>0</v>
      </c>
      <c r="P7" s="6"/>
      <c r="S7" s="5" t="s">
        <v>38</v>
      </c>
      <c r="T7" s="4">
        <v>0</v>
      </c>
      <c r="U7" s="5">
        <f t="shared" ref="U7:U9" si="4">T10</f>
        <v>6231.6872100000001</v>
      </c>
      <c r="V7" s="5">
        <v>0</v>
      </c>
      <c r="W7" s="4">
        <f t="shared" si="2"/>
        <v>0</v>
      </c>
    </row>
    <row r="8" spans="1:23" ht="15.75" customHeight="1" x14ac:dyDescent="0.15">
      <c r="A8" s="5" t="s">
        <v>39</v>
      </c>
      <c r="B8" s="4">
        <v>0</v>
      </c>
      <c r="C8" s="4">
        <f t="shared" ref="C8:C9" si="5">SUM(B20)</f>
        <v>1063.2645127565972</v>
      </c>
      <c r="D8" s="5">
        <v>0</v>
      </c>
      <c r="E8" s="5">
        <v>0</v>
      </c>
      <c r="J8" s="5" t="s">
        <v>77</v>
      </c>
      <c r="K8" s="4">
        <v>0</v>
      </c>
      <c r="L8" s="4">
        <f t="shared" si="3"/>
        <v>366.15863000000002</v>
      </c>
      <c r="M8" s="5">
        <v>0</v>
      </c>
      <c r="N8" s="4">
        <f t="shared" si="0"/>
        <v>0</v>
      </c>
      <c r="P8" s="6"/>
      <c r="Q8" s="6"/>
      <c r="R8" s="6"/>
      <c r="S8" s="5" t="s">
        <v>78</v>
      </c>
      <c r="T8" s="4">
        <v>0</v>
      </c>
      <c r="U8" s="4">
        <f t="shared" si="4"/>
        <v>1786.65951933</v>
      </c>
      <c r="V8" s="5">
        <v>0</v>
      </c>
      <c r="W8" s="4">
        <f t="shared" si="2"/>
        <v>0</v>
      </c>
    </row>
    <row r="9" spans="1:23" ht="15.75" customHeight="1" x14ac:dyDescent="0.15">
      <c r="A9" s="5" t="s">
        <v>42</v>
      </c>
      <c r="B9" s="4">
        <v>0</v>
      </c>
      <c r="C9" s="4">
        <f t="shared" si="5"/>
        <v>365.02415831823174</v>
      </c>
      <c r="D9" s="5">
        <v>0</v>
      </c>
      <c r="E9" s="5">
        <v>0</v>
      </c>
      <c r="J9" s="5" t="s">
        <v>79</v>
      </c>
      <c r="K9" s="4">
        <v>0</v>
      </c>
      <c r="L9" s="4">
        <f t="shared" si="3"/>
        <v>1420.5008893300001</v>
      </c>
      <c r="M9" s="5">
        <v>0</v>
      </c>
      <c r="N9" s="4">
        <f t="shared" si="0"/>
        <v>0</v>
      </c>
      <c r="P9" s="6"/>
      <c r="Q9" s="6"/>
      <c r="R9" s="6"/>
      <c r="S9" s="5" t="s">
        <v>80</v>
      </c>
      <c r="T9" s="4">
        <v>0</v>
      </c>
      <c r="U9" s="4">
        <f t="shared" si="4"/>
        <v>2977.7658655499999</v>
      </c>
      <c r="V9" s="5">
        <v>0</v>
      </c>
      <c r="W9" s="4">
        <f t="shared" si="2"/>
        <v>0</v>
      </c>
    </row>
    <row r="10" spans="1:23" ht="15.75" customHeight="1" x14ac:dyDescent="0.15">
      <c r="A10" s="5" t="s">
        <v>78</v>
      </c>
      <c r="B10" s="4">
        <v>0</v>
      </c>
      <c r="C10" s="23">
        <f>SUM(B22:B23)</f>
        <v>974.02391961698584</v>
      </c>
      <c r="D10" s="5">
        <v>0</v>
      </c>
      <c r="E10" s="5">
        <v>0</v>
      </c>
      <c r="J10" s="5" t="s">
        <v>81</v>
      </c>
      <c r="K10" s="4">
        <v>0</v>
      </c>
      <c r="L10" s="4">
        <f t="shared" si="3"/>
        <v>0</v>
      </c>
      <c r="M10" s="5">
        <v>0</v>
      </c>
      <c r="N10" s="4">
        <f t="shared" si="0"/>
        <v>0</v>
      </c>
      <c r="P10" s="6"/>
      <c r="Q10" s="6"/>
      <c r="R10" s="6"/>
      <c r="S10" s="5" t="s">
        <v>50</v>
      </c>
      <c r="T10" s="5">
        <v>6231.6872100000001</v>
      </c>
      <c r="U10" s="4">
        <v>0</v>
      </c>
      <c r="V10" s="5">
        <v>0</v>
      </c>
      <c r="W10" s="5">
        <f t="shared" si="2"/>
        <v>6231.6872100000001</v>
      </c>
    </row>
    <row r="11" spans="1:23" ht="15.75" customHeight="1" x14ac:dyDescent="0.15">
      <c r="A11" s="5" t="s">
        <v>79</v>
      </c>
      <c r="B11" s="4">
        <v>0</v>
      </c>
      <c r="C11" s="4">
        <f t="shared" ref="C11:C12" si="6">SUM(B24)</f>
        <v>525.76148106587345</v>
      </c>
      <c r="D11" s="5">
        <v>0</v>
      </c>
      <c r="E11" s="5">
        <v>0</v>
      </c>
      <c r="J11" s="5" t="s">
        <v>82</v>
      </c>
      <c r="K11" s="4">
        <v>0</v>
      </c>
      <c r="L11" s="4">
        <f>SUM(K18)</f>
        <v>2977.7658655499999</v>
      </c>
      <c r="M11" s="5">
        <v>0</v>
      </c>
      <c r="N11" s="4">
        <f t="shared" si="0"/>
        <v>0</v>
      </c>
      <c r="P11" s="6"/>
      <c r="Q11" s="6"/>
      <c r="R11" s="6"/>
      <c r="S11" s="5" t="s">
        <v>83</v>
      </c>
      <c r="T11" s="4">
        <v>1786.65951933</v>
      </c>
      <c r="U11" s="4">
        <v>0</v>
      </c>
      <c r="V11" s="5">
        <v>0</v>
      </c>
      <c r="W11" s="4">
        <f t="shared" si="2"/>
        <v>1786.65951933</v>
      </c>
    </row>
    <row r="12" spans="1:23" ht="15.75" customHeight="1" x14ac:dyDescent="0.15">
      <c r="A12" s="5" t="s">
        <v>77</v>
      </c>
      <c r="B12" s="4">
        <v>0</v>
      </c>
      <c r="C12" s="4">
        <f t="shared" si="6"/>
        <v>74.927237718739732</v>
      </c>
      <c r="D12" s="5">
        <v>0</v>
      </c>
      <c r="E12" s="5">
        <v>0</v>
      </c>
      <c r="J12" s="5" t="s">
        <v>84</v>
      </c>
      <c r="K12" s="4">
        <v>0</v>
      </c>
      <c r="L12" s="4">
        <f t="shared" ref="L12:L13" si="7">K19</f>
        <v>0</v>
      </c>
      <c r="M12" s="5">
        <v>0</v>
      </c>
      <c r="N12" s="4">
        <f t="shared" si="0"/>
        <v>0</v>
      </c>
      <c r="S12" s="5" t="s">
        <v>85</v>
      </c>
      <c r="T12" s="4">
        <v>2977.7658655499999</v>
      </c>
      <c r="U12" s="4">
        <v>0</v>
      </c>
      <c r="V12" s="5">
        <v>0</v>
      </c>
      <c r="W12" s="4">
        <f t="shared" si="2"/>
        <v>2977.7658655499999</v>
      </c>
    </row>
    <row r="13" spans="1:23" ht="15.75" customHeight="1" x14ac:dyDescent="0.15">
      <c r="A13" s="5" t="s">
        <v>86</v>
      </c>
      <c r="B13" s="4">
        <v>0</v>
      </c>
      <c r="C13" s="4">
        <f>SUM(B26:B27)</f>
        <v>176.69691500409292</v>
      </c>
      <c r="D13" s="5">
        <v>0</v>
      </c>
      <c r="E13" s="5">
        <v>0</v>
      </c>
      <c r="J13" s="5" t="s">
        <v>87</v>
      </c>
      <c r="K13" s="4">
        <v>0</v>
      </c>
      <c r="L13" s="4">
        <f t="shared" si="7"/>
        <v>0</v>
      </c>
      <c r="M13" s="5">
        <v>0</v>
      </c>
      <c r="N13" s="4">
        <f t="shared" si="0"/>
        <v>0</v>
      </c>
      <c r="P13" s="6"/>
      <c r="Q13" s="6"/>
      <c r="R13" s="6"/>
    </row>
    <row r="14" spans="1:23" ht="15.75" customHeight="1" x14ac:dyDescent="0.15">
      <c r="A14" s="5" t="s">
        <v>80</v>
      </c>
      <c r="B14" s="4">
        <v>0</v>
      </c>
      <c r="C14" s="23">
        <f>SUM(B28:B29)</f>
        <v>1390.9283752100444</v>
      </c>
      <c r="D14" s="5">
        <v>0</v>
      </c>
      <c r="E14" s="5">
        <v>0</v>
      </c>
      <c r="J14" s="5" t="s">
        <v>50</v>
      </c>
      <c r="K14" s="4">
        <v>6231.6872100000001</v>
      </c>
      <c r="L14" s="4">
        <v>0</v>
      </c>
      <c r="M14" s="5">
        <v>0</v>
      </c>
      <c r="N14" s="4">
        <f t="shared" si="0"/>
        <v>6231.6872100000001</v>
      </c>
      <c r="P14" s="6"/>
      <c r="Q14" s="6"/>
      <c r="R14" s="6"/>
      <c r="T14" s="4"/>
      <c r="U14" s="4"/>
    </row>
    <row r="15" spans="1:23" ht="15.75" customHeight="1" x14ac:dyDescent="0.15">
      <c r="A15" s="5" t="s">
        <v>82</v>
      </c>
      <c r="B15" s="4">
        <v>0</v>
      </c>
      <c r="C15" s="4">
        <f>B30</f>
        <v>1549.9363218891158</v>
      </c>
      <c r="D15" s="5">
        <v>0</v>
      </c>
      <c r="E15" s="5">
        <v>0</v>
      </c>
      <c r="J15" s="5" t="s">
        <v>88</v>
      </c>
      <c r="K15" s="4">
        <v>366.15863000000002</v>
      </c>
      <c r="L15" s="4">
        <v>0</v>
      </c>
      <c r="M15" s="5">
        <v>0</v>
      </c>
      <c r="N15" s="4">
        <f t="shared" si="0"/>
        <v>366.15863000000002</v>
      </c>
    </row>
    <row r="16" spans="1:23" ht="15.75" customHeight="1" x14ac:dyDescent="0.15">
      <c r="A16" s="5" t="s">
        <v>84</v>
      </c>
      <c r="B16" s="4">
        <v>0</v>
      </c>
      <c r="C16" s="4">
        <f>SUM(B31)</f>
        <v>25.99121629225581</v>
      </c>
      <c r="D16" s="5">
        <v>0</v>
      </c>
      <c r="E16" s="5">
        <v>0</v>
      </c>
      <c r="J16" s="5" t="s">
        <v>89</v>
      </c>
      <c r="K16" s="4">
        <f>1248.23837933+172.26251</f>
        <v>1420.5008893300001</v>
      </c>
      <c r="L16" s="4">
        <v>0</v>
      </c>
      <c r="M16" s="5">
        <v>0</v>
      </c>
      <c r="N16" s="4">
        <f t="shared" si="0"/>
        <v>1420.5008893300001</v>
      </c>
      <c r="P16" s="6"/>
      <c r="Q16" s="6"/>
      <c r="R16" s="6"/>
      <c r="T16" s="4"/>
      <c r="U16" s="4"/>
    </row>
    <row r="17" spans="1:18" ht="15.75" customHeight="1" x14ac:dyDescent="0.15">
      <c r="A17" s="5" t="s">
        <v>90</v>
      </c>
      <c r="B17" s="4">
        <v>0</v>
      </c>
      <c r="C17" s="4">
        <f>SUM(B32:B33)</f>
        <v>10.909952608584277</v>
      </c>
      <c r="D17" s="5">
        <v>0</v>
      </c>
      <c r="E17" s="5">
        <v>0</v>
      </c>
      <c r="J17" s="5" t="s">
        <v>91</v>
      </c>
      <c r="K17" s="4">
        <v>0</v>
      </c>
      <c r="L17" s="4">
        <v>0</v>
      </c>
      <c r="M17" s="5">
        <v>0</v>
      </c>
      <c r="N17" s="4">
        <f t="shared" si="0"/>
        <v>0</v>
      </c>
      <c r="P17" s="6"/>
      <c r="Q17" s="6"/>
      <c r="R17" s="6"/>
    </row>
    <row r="18" spans="1:18" ht="15.75" customHeight="1" x14ac:dyDescent="0.15">
      <c r="A18" s="5" t="s">
        <v>50</v>
      </c>
      <c r="B18" s="22">
        <f>6231.68721*H32/E36*13.3/61.3</f>
        <v>1042.172929326342</v>
      </c>
      <c r="C18" s="4">
        <v>0</v>
      </c>
      <c r="D18" s="5">
        <v>0</v>
      </c>
      <c r="E18" s="4">
        <f t="shared" ref="E18:E33" si="8">B18</f>
        <v>1042.172929326342</v>
      </c>
      <c r="J18" s="5" t="s">
        <v>92</v>
      </c>
      <c r="K18" s="4">
        <f>2582.78772555+100.88619+294.09195</f>
        <v>2977.7658655499999</v>
      </c>
      <c r="L18" s="4">
        <v>0</v>
      </c>
      <c r="M18" s="5">
        <v>0</v>
      </c>
      <c r="N18" s="4">
        <f t="shared" si="0"/>
        <v>2977.7658655499999</v>
      </c>
      <c r="P18" s="6"/>
      <c r="Q18" s="6"/>
      <c r="R18" s="6"/>
    </row>
    <row r="19" spans="1:18" ht="15.75" customHeight="1" x14ac:dyDescent="0.15">
      <c r="A19" s="7" t="s">
        <v>62</v>
      </c>
      <c r="B19" s="9">
        <f>6231.68721*H32/E36*48/61.3</f>
        <v>3761.2256095988282</v>
      </c>
      <c r="C19" s="4">
        <v>0</v>
      </c>
      <c r="D19" s="5">
        <v>0</v>
      </c>
      <c r="E19" s="4">
        <f t="shared" si="8"/>
        <v>3761.2256095988282</v>
      </c>
      <c r="F19" s="5" t="s">
        <v>63</v>
      </c>
      <c r="G19" s="8">
        <f>D4/SUM(D4:D6)</f>
        <v>0.56853985135090479</v>
      </c>
      <c r="J19" s="5" t="s">
        <v>93</v>
      </c>
      <c r="K19" s="4">
        <v>0</v>
      </c>
      <c r="L19" s="4">
        <v>0</v>
      </c>
      <c r="M19" s="5">
        <v>0</v>
      </c>
      <c r="N19" s="4">
        <f t="shared" si="0"/>
        <v>0</v>
      </c>
    </row>
    <row r="20" spans="1:18" ht="15.75" customHeight="1" x14ac:dyDescent="0.15">
      <c r="A20" s="5" t="s">
        <v>64</v>
      </c>
      <c r="B20" s="9">
        <f>6231.68721*H33/E36</f>
        <v>1063.2645127565972</v>
      </c>
      <c r="C20" s="4">
        <v>0</v>
      </c>
      <c r="D20" s="5">
        <v>0</v>
      </c>
      <c r="E20" s="4">
        <f t="shared" si="8"/>
        <v>1063.2645127565972</v>
      </c>
      <c r="F20" s="5" t="s">
        <v>65</v>
      </c>
      <c r="G20" s="8">
        <f>(C7+C10+C14)/SUM(D4:D6)</f>
        <v>0.65399513488299921</v>
      </c>
      <c r="J20" s="5" t="s">
        <v>94</v>
      </c>
      <c r="K20" s="4">
        <v>0</v>
      </c>
      <c r="L20" s="4">
        <v>0</v>
      </c>
      <c r="M20" s="5">
        <v>0</v>
      </c>
      <c r="N20" s="4">
        <f t="shared" si="0"/>
        <v>0</v>
      </c>
      <c r="P20" s="6"/>
      <c r="Q20" s="6"/>
      <c r="R20" s="6"/>
    </row>
    <row r="21" spans="1:18" ht="15.75" customHeight="1" x14ac:dyDescent="0.15">
      <c r="A21" s="5" t="s">
        <v>66</v>
      </c>
      <c r="B21" s="9">
        <f>6231.68721*H34/E36</f>
        <v>365.02415831823174</v>
      </c>
      <c r="C21" s="4">
        <v>0</v>
      </c>
      <c r="D21" s="5">
        <v>0</v>
      </c>
      <c r="E21" s="4">
        <f t="shared" si="8"/>
        <v>365.02415831823174</v>
      </c>
      <c r="F21" s="5" t="s">
        <v>67</v>
      </c>
      <c r="G21" s="8">
        <f>(B18+B22+B28)/SUM(D4:D6)</f>
        <v>0.14189453986857894</v>
      </c>
      <c r="P21" s="6"/>
      <c r="Q21" s="6"/>
      <c r="R21" s="6"/>
    </row>
    <row r="22" spans="1:18" ht="15.75" customHeight="1" x14ac:dyDescent="0.15">
      <c r="A22" s="5" t="s">
        <v>83</v>
      </c>
      <c r="B22" s="22">
        <f>1786.659519*H43/E38*13.3/61.3</f>
        <v>211.32982269014539</v>
      </c>
      <c r="C22" s="4">
        <v>0</v>
      </c>
      <c r="D22" s="5">
        <v>0</v>
      </c>
      <c r="E22" s="4">
        <f t="shared" si="8"/>
        <v>211.32982269014539</v>
      </c>
    </row>
    <row r="23" spans="1:18" ht="15.75" customHeight="1" x14ac:dyDescent="0.15">
      <c r="A23" s="5" t="s">
        <v>95</v>
      </c>
      <c r="B23" s="9">
        <f>1786.659519*H43/E38*48/61.3</f>
        <v>762.69409692684042</v>
      </c>
      <c r="C23" s="4">
        <v>0</v>
      </c>
      <c r="D23" s="5">
        <v>0</v>
      </c>
      <c r="E23" s="4">
        <f t="shared" si="8"/>
        <v>762.69409692684042</v>
      </c>
    </row>
    <row r="24" spans="1:18" ht="15.75" customHeight="1" x14ac:dyDescent="0.15">
      <c r="A24" s="5" t="s">
        <v>89</v>
      </c>
      <c r="B24" s="9">
        <f>1786.659519*H42/E38</f>
        <v>525.76148106587345</v>
      </c>
      <c r="C24" s="4">
        <v>0</v>
      </c>
      <c r="D24" s="5">
        <v>0</v>
      </c>
      <c r="E24" s="4">
        <f t="shared" si="8"/>
        <v>525.76148106587345</v>
      </c>
      <c r="P24" s="6"/>
      <c r="Q24" s="6"/>
      <c r="R24" s="6"/>
    </row>
    <row r="25" spans="1:18" ht="15.75" customHeight="1" x14ac:dyDescent="0.15">
      <c r="A25" s="5" t="s">
        <v>88</v>
      </c>
      <c r="B25" s="9">
        <f>1786.659519*H41/E38</f>
        <v>74.927237718739732</v>
      </c>
      <c r="C25" s="4">
        <v>0</v>
      </c>
      <c r="D25" s="5">
        <v>0</v>
      </c>
      <c r="E25" s="4">
        <f t="shared" si="8"/>
        <v>74.927237718739732</v>
      </c>
    </row>
    <row r="26" spans="1:18" ht="15.75" customHeight="1" x14ac:dyDescent="0.15">
      <c r="A26" s="5" t="s">
        <v>96</v>
      </c>
      <c r="B26" s="9">
        <f>1786.659519*H44/E38*295/(710+295)</f>
        <v>51.8662586330422</v>
      </c>
      <c r="C26" s="4">
        <v>0</v>
      </c>
      <c r="D26" s="5">
        <v>0</v>
      </c>
      <c r="E26" s="4">
        <f t="shared" si="8"/>
        <v>51.8662586330422</v>
      </c>
      <c r="K26" s="4"/>
      <c r="L26" s="4"/>
    </row>
    <row r="27" spans="1:18" ht="15.75" customHeight="1" x14ac:dyDescent="0.15">
      <c r="A27" s="5" t="s">
        <v>97</v>
      </c>
      <c r="B27" s="9">
        <f>1786.659519*H44/E38*710/(710+295)</f>
        <v>124.83065637105072</v>
      </c>
      <c r="C27" s="4">
        <v>0</v>
      </c>
      <c r="D27" s="5">
        <v>0</v>
      </c>
      <c r="E27" s="4">
        <f t="shared" si="8"/>
        <v>124.83065637105072</v>
      </c>
      <c r="K27" s="4"/>
      <c r="L27" s="4"/>
    </row>
    <row r="28" spans="1:18" ht="15.75" customHeight="1" x14ac:dyDescent="0.15">
      <c r="A28" s="5" t="s">
        <v>85</v>
      </c>
      <c r="B28" s="22">
        <f>2977.765866*H38/E37*13.3/61.3</f>
        <v>301.78380734573557</v>
      </c>
      <c r="C28" s="4">
        <v>0</v>
      </c>
      <c r="D28" s="5">
        <v>0</v>
      </c>
      <c r="E28" s="4">
        <f t="shared" si="8"/>
        <v>301.78380734573557</v>
      </c>
      <c r="K28" s="4"/>
      <c r="L28" s="4"/>
    </row>
    <row r="29" spans="1:18" ht="15.75" customHeight="1" x14ac:dyDescent="0.15">
      <c r="A29" s="5" t="s">
        <v>98</v>
      </c>
      <c r="B29" s="9">
        <f>2977.765866*H38/E37*48/61.3</f>
        <v>1089.1445678643088</v>
      </c>
      <c r="C29" s="4">
        <v>0</v>
      </c>
      <c r="D29" s="5">
        <v>0</v>
      </c>
      <c r="E29" s="4">
        <f t="shared" si="8"/>
        <v>1089.1445678643088</v>
      </c>
      <c r="K29" s="4"/>
      <c r="L29" s="4"/>
    </row>
    <row r="30" spans="1:18" ht="15.75" customHeight="1" x14ac:dyDescent="0.15">
      <c r="A30" s="5" t="s">
        <v>92</v>
      </c>
      <c r="B30" s="9">
        <f>2977.765866*H37/E37</f>
        <v>1549.9363218891158</v>
      </c>
      <c r="C30" s="4">
        <v>0</v>
      </c>
      <c r="D30" s="5">
        <v>0</v>
      </c>
      <c r="E30" s="4">
        <f t="shared" si="8"/>
        <v>1549.9363218891158</v>
      </c>
      <c r="K30" s="4"/>
      <c r="L30" s="4"/>
    </row>
    <row r="31" spans="1:18" ht="15.75" customHeight="1" x14ac:dyDescent="0.15">
      <c r="A31" s="5" t="s">
        <v>93</v>
      </c>
      <c r="B31" s="9">
        <f>2977.765866*H36/E37</f>
        <v>25.99121629225581</v>
      </c>
      <c r="C31" s="4">
        <v>0</v>
      </c>
      <c r="D31" s="5">
        <v>0</v>
      </c>
      <c r="E31" s="4">
        <f t="shared" si="8"/>
        <v>25.99121629225581</v>
      </c>
    </row>
    <row r="32" spans="1:18" ht="15.75" customHeight="1" x14ac:dyDescent="0.15">
      <c r="A32" s="5" t="s">
        <v>99</v>
      </c>
      <c r="B32" s="9">
        <f>2977.765866*H39/E37*295/(295+710)</f>
        <v>3.2024239000322008</v>
      </c>
      <c r="C32" s="4">
        <v>0</v>
      </c>
      <c r="D32" s="5">
        <v>0</v>
      </c>
      <c r="E32" s="4">
        <f t="shared" si="8"/>
        <v>3.2024239000322008</v>
      </c>
      <c r="G32" s="5" t="s">
        <v>100</v>
      </c>
      <c r="H32" s="5">
        <v>31745.58209</v>
      </c>
    </row>
    <row r="33" spans="1:14" ht="15.75" customHeight="1" x14ac:dyDescent="0.15">
      <c r="A33" s="5" t="s">
        <v>101</v>
      </c>
      <c r="B33" s="9">
        <f>2977.765866*H39/E37*710/(295+710)</f>
        <v>7.7075287085520765</v>
      </c>
      <c r="C33" s="4">
        <v>0</v>
      </c>
      <c r="D33" s="5">
        <v>0</v>
      </c>
      <c r="E33" s="4">
        <f t="shared" si="8"/>
        <v>7.7075287085520765</v>
      </c>
      <c r="G33" s="5" t="s">
        <v>102</v>
      </c>
      <c r="H33" s="5">
        <v>7027.09771</v>
      </c>
    </row>
    <row r="34" spans="1:14" ht="15.75" customHeight="1" x14ac:dyDescent="0.15">
      <c r="G34" s="5" t="s">
        <v>103</v>
      </c>
      <c r="H34" s="5">
        <v>2412.43867</v>
      </c>
    </row>
    <row r="35" spans="1:14" ht="15.75" customHeight="1" x14ac:dyDescent="0.15">
      <c r="A35" s="5" t="s">
        <v>104</v>
      </c>
      <c r="D35" s="5" t="s">
        <v>105</v>
      </c>
      <c r="E35" s="5" t="s">
        <v>106</v>
      </c>
      <c r="L35" s="4"/>
      <c r="M35" s="4"/>
      <c r="N35" s="4"/>
    </row>
    <row r="36" spans="1:14" ht="15.75" customHeight="1" x14ac:dyDescent="0.15">
      <c r="A36" s="5" t="s">
        <v>107</v>
      </c>
      <c r="D36" s="4">
        <v>6231.687210000001</v>
      </c>
      <c r="E36" s="10">
        <f>SUM(H32:H34)</f>
        <v>41185.118470000001</v>
      </c>
      <c r="G36" s="5" t="s">
        <v>108</v>
      </c>
      <c r="H36" s="5">
        <v>100.88619</v>
      </c>
      <c r="L36" s="4"/>
      <c r="M36" s="4"/>
      <c r="N36" s="4"/>
    </row>
    <row r="37" spans="1:14" ht="15.75" customHeight="1" x14ac:dyDescent="0.15">
      <c r="A37" s="5" t="s">
        <v>109</v>
      </c>
      <c r="D37" s="4">
        <v>1786.6595189999998</v>
      </c>
      <c r="E37" s="10">
        <f>SUM(H36:H39)</f>
        <v>11558.345310000001</v>
      </c>
      <c r="G37" s="5" t="s">
        <v>110</v>
      </c>
      <c r="H37" s="5">
        <v>6016.1544000000004</v>
      </c>
    </row>
    <row r="38" spans="1:14" ht="15.75" customHeight="1" x14ac:dyDescent="0.15">
      <c r="A38" s="5" t="s">
        <v>111</v>
      </c>
      <c r="D38" s="4">
        <v>2977.7658660000006</v>
      </c>
      <c r="E38" s="10">
        <v>8731.1479999999992</v>
      </c>
      <c r="G38" s="5" t="s">
        <v>112</v>
      </c>
      <c r="H38" s="5">
        <v>5398.9571999999998</v>
      </c>
      <c r="L38" s="4"/>
      <c r="M38" s="4"/>
      <c r="N38" s="4"/>
    </row>
    <row r="39" spans="1:14" ht="15.75" customHeight="1" x14ac:dyDescent="0.15">
      <c r="A39" s="5" t="s">
        <v>113</v>
      </c>
      <c r="G39" s="5" t="s">
        <v>114</v>
      </c>
      <c r="H39" s="5">
        <v>42.347520000000003</v>
      </c>
      <c r="L39" s="4"/>
      <c r="M39" s="4"/>
      <c r="N39" s="4"/>
    </row>
    <row r="40" spans="1:14" ht="15.75" customHeight="1" x14ac:dyDescent="0.15">
      <c r="A40" s="5" t="s">
        <v>115</v>
      </c>
      <c r="L40" s="4"/>
      <c r="M40" s="4"/>
      <c r="N40" s="4"/>
    </row>
    <row r="41" spans="1:14" ht="15.75" customHeight="1" x14ac:dyDescent="0.15">
      <c r="A41" s="5" t="s">
        <v>116</v>
      </c>
      <c r="G41" s="5" t="s">
        <v>117</v>
      </c>
      <c r="H41" s="5">
        <v>366.15863000000002</v>
      </c>
      <c r="L41" s="4"/>
      <c r="M41" s="4"/>
      <c r="N41" s="4"/>
    </row>
    <row r="42" spans="1:14" ht="15.75" customHeight="1" x14ac:dyDescent="0.15">
      <c r="A42" s="5" t="s">
        <v>118</v>
      </c>
      <c r="G42" s="5" t="s">
        <v>119</v>
      </c>
      <c r="H42" s="5">
        <v>2569.32071</v>
      </c>
      <c r="L42" s="4"/>
      <c r="M42" s="4"/>
      <c r="N42" s="4"/>
    </row>
    <row r="43" spans="1:14" ht="15.75" customHeight="1" x14ac:dyDescent="0.15">
      <c r="G43" s="5" t="s">
        <v>120</v>
      </c>
      <c r="H43" s="5">
        <v>4759.9147499999999</v>
      </c>
      <c r="L43" s="4"/>
      <c r="M43" s="4"/>
      <c r="N43" s="4"/>
    </row>
    <row r="44" spans="1:14" ht="15.75" customHeight="1" x14ac:dyDescent="0.15">
      <c r="G44" s="5" t="s">
        <v>121</v>
      </c>
      <c r="H44" s="5">
        <v>863.49239999999998</v>
      </c>
      <c r="L44" s="4"/>
      <c r="M44" s="4"/>
      <c r="N44" s="4"/>
    </row>
    <row r="45" spans="1:14" ht="13" x14ac:dyDescent="0.15">
      <c r="L45" s="4"/>
      <c r="M45" s="4"/>
      <c r="N45" s="4"/>
    </row>
    <row r="46" spans="1:14" ht="13" x14ac:dyDescent="0.15">
      <c r="L46" s="4"/>
      <c r="M46" s="4"/>
      <c r="N46" s="4"/>
    </row>
    <row r="47" spans="1:14" ht="13" x14ac:dyDescent="0.15">
      <c r="L47" s="4"/>
      <c r="M47" s="4"/>
      <c r="N47" s="4"/>
    </row>
    <row r="48" spans="1:14" ht="13" x14ac:dyDescent="0.15">
      <c r="L48" s="4"/>
      <c r="M48" s="4"/>
      <c r="N48" s="4"/>
    </row>
    <row r="49" spans="1:14" ht="13" x14ac:dyDescent="0.15">
      <c r="L49" s="4"/>
      <c r="M49" s="4"/>
      <c r="N49" s="4"/>
    </row>
    <row r="50" spans="1:14" ht="13" x14ac:dyDescent="0.15">
      <c r="L50" s="4"/>
      <c r="M50" s="4"/>
      <c r="N50" s="4"/>
    </row>
    <row r="51" spans="1:14" ht="13" x14ac:dyDescent="0.15">
      <c r="B51" t="s">
        <v>33</v>
      </c>
      <c r="C51" t="s">
        <v>34</v>
      </c>
      <c r="D51" t="s">
        <v>35</v>
      </c>
      <c r="F51" s="6" t="s">
        <v>10</v>
      </c>
      <c r="G51">
        <f>(B77/$B$93)*100</f>
        <v>9.5081287355103896</v>
      </c>
      <c r="H51" s="6" t="s">
        <v>10</v>
      </c>
      <c r="I51">
        <v>0</v>
      </c>
      <c r="J51">
        <v>1</v>
      </c>
      <c r="L51" s="4"/>
      <c r="M51" s="4"/>
      <c r="N51" s="4"/>
    </row>
    <row r="52" spans="1:14" ht="13" x14ac:dyDescent="0.15">
      <c r="A52" t="s">
        <v>10</v>
      </c>
      <c r="B52">
        <v>0</v>
      </c>
      <c r="C52">
        <v>0</v>
      </c>
      <c r="D52">
        <v>6231.6872099999991</v>
      </c>
      <c r="F52" s="6" t="s">
        <v>9</v>
      </c>
      <c r="G52">
        <f>(B78/$B$93)*100</f>
        <v>34.315051075526213</v>
      </c>
      <c r="H52" s="6" t="s">
        <v>10</v>
      </c>
      <c r="I52">
        <v>0</v>
      </c>
      <c r="J52">
        <v>1</v>
      </c>
      <c r="L52" s="4"/>
      <c r="M52" s="4"/>
      <c r="N52" s="4"/>
    </row>
    <row r="53" spans="1:14" ht="13" x14ac:dyDescent="0.15">
      <c r="F53" s="6" t="s">
        <v>10</v>
      </c>
      <c r="G53">
        <f>(C59/$C$93)*100</f>
        <v>43.823179811036596</v>
      </c>
      <c r="H53" s="6" t="s">
        <v>10</v>
      </c>
      <c r="I53">
        <v>1</v>
      </c>
      <c r="J53">
        <v>2</v>
      </c>
      <c r="L53" s="4"/>
      <c r="M53" s="4"/>
      <c r="N53" s="4"/>
    </row>
    <row r="54" spans="1:14" ht="13" x14ac:dyDescent="0.15">
      <c r="A54" t="s">
        <v>14</v>
      </c>
      <c r="B54">
        <v>0</v>
      </c>
      <c r="C54">
        <v>0</v>
      </c>
      <c r="D54">
        <v>1751.4095534056919</v>
      </c>
      <c r="F54" s="6" t="s">
        <v>348</v>
      </c>
      <c r="G54">
        <f>(B79/$B$93)*100</f>
        <v>9.7005550448564328</v>
      </c>
      <c r="H54" s="6" t="s">
        <v>348</v>
      </c>
      <c r="I54">
        <v>0</v>
      </c>
      <c r="J54">
        <v>1</v>
      </c>
      <c r="L54" s="4"/>
      <c r="M54" s="4"/>
      <c r="N54" s="4"/>
    </row>
    <row r="55" spans="1:14" ht="13" x14ac:dyDescent="0.15">
      <c r="F55" s="6" t="s">
        <v>348</v>
      </c>
      <c r="G55">
        <f>(C60/C93)*100</f>
        <v>9.7005550448564328</v>
      </c>
      <c r="H55" s="6" t="s">
        <v>10</v>
      </c>
      <c r="I55">
        <v>1</v>
      </c>
      <c r="J55">
        <v>2</v>
      </c>
      <c r="L55" s="4"/>
      <c r="M55" s="4"/>
      <c r="N55" s="4"/>
    </row>
    <row r="56" spans="1:14" ht="13" x14ac:dyDescent="0.15">
      <c r="F56" s="6" t="s">
        <v>349</v>
      </c>
      <c r="G56">
        <f>(B80/$B$93)*100</f>
        <v>3.3302502791974478</v>
      </c>
      <c r="H56" s="6" t="s">
        <v>349</v>
      </c>
      <c r="I56">
        <v>0</v>
      </c>
      <c r="J56">
        <v>1</v>
      </c>
      <c r="L56" s="4"/>
      <c r="M56" s="4"/>
      <c r="N56" s="4"/>
    </row>
    <row r="57" spans="1:14" ht="13" x14ac:dyDescent="0.15">
      <c r="A57" t="s">
        <v>15</v>
      </c>
      <c r="B57">
        <v>0</v>
      </c>
      <c r="C57">
        <v>0</v>
      </c>
      <c r="D57">
        <v>2977.7658660000006</v>
      </c>
      <c r="F57" s="6" t="s">
        <v>349</v>
      </c>
      <c r="G57">
        <f>C62/C93*100</f>
        <v>3.3302502791974478</v>
      </c>
      <c r="H57" t="s">
        <v>10</v>
      </c>
      <c r="I57">
        <v>1</v>
      </c>
      <c r="J57">
        <v>2</v>
      </c>
      <c r="L57" s="4"/>
      <c r="M57" s="4"/>
      <c r="N57" s="4"/>
    </row>
    <row r="58" spans="1:14" ht="13" x14ac:dyDescent="0.15">
      <c r="F58" s="6" t="s">
        <v>10</v>
      </c>
      <c r="G58">
        <f>(B81/$B$93)*100</f>
        <v>1.9280400624964673</v>
      </c>
      <c r="H58" s="6" t="s">
        <v>10</v>
      </c>
      <c r="I58">
        <v>0</v>
      </c>
      <c r="J58">
        <v>1</v>
      </c>
      <c r="L58" s="4"/>
      <c r="M58" s="4"/>
      <c r="N58" s="4"/>
    </row>
    <row r="59" spans="1:14" ht="13" x14ac:dyDescent="0.15">
      <c r="A59" t="s">
        <v>38</v>
      </c>
      <c r="B59">
        <v>0</v>
      </c>
      <c r="C59">
        <v>4803.3985389251702</v>
      </c>
      <c r="D59">
        <v>0</v>
      </c>
      <c r="F59" s="6" t="s">
        <v>9</v>
      </c>
      <c r="G59">
        <f>(B82/$B$93)*100</f>
        <v>6.9583400751752196</v>
      </c>
      <c r="H59" s="6" t="s">
        <v>10</v>
      </c>
      <c r="I59">
        <v>0</v>
      </c>
      <c r="J59">
        <v>1</v>
      </c>
      <c r="L59" s="4"/>
      <c r="M59" s="4"/>
      <c r="N59" s="4"/>
    </row>
    <row r="60" spans="1:14" ht="13" x14ac:dyDescent="0.15">
      <c r="A60" t="s">
        <v>39</v>
      </c>
      <c r="B60">
        <v>0</v>
      </c>
      <c r="C60">
        <v>1063.2645127565972</v>
      </c>
      <c r="D60">
        <v>0</v>
      </c>
      <c r="F60" s="6" t="s">
        <v>10</v>
      </c>
      <c r="G60">
        <f>C64/C93*100</f>
        <v>8.8863801376716864</v>
      </c>
      <c r="H60" s="6" t="s">
        <v>14</v>
      </c>
      <c r="I60">
        <v>1</v>
      </c>
      <c r="J60">
        <v>2</v>
      </c>
      <c r="L60" s="4"/>
      <c r="M60" s="4"/>
      <c r="N60" s="4"/>
    </row>
    <row r="61" spans="1:14" ht="13" x14ac:dyDescent="0.15">
      <c r="F61" s="6" t="s">
        <v>348</v>
      </c>
      <c r="G61">
        <f>(B83/$B$93)*100</f>
        <v>4.7967162698980088</v>
      </c>
      <c r="H61" s="6" t="s">
        <v>348</v>
      </c>
      <c r="I61">
        <v>0</v>
      </c>
      <c r="J61">
        <v>1</v>
      </c>
      <c r="L61" s="4"/>
      <c r="M61" s="4"/>
      <c r="N61" s="4"/>
    </row>
    <row r="62" spans="1:14" ht="13" x14ac:dyDescent="0.15">
      <c r="A62" t="s">
        <v>42</v>
      </c>
      <c r="B62">
        <v>0</v>
      </c>
      <c r="C62">
        <v>365.02415831823174</v>
      </c>
      <c r="D62">
        <v>0</v>
      </c>
      <c r="F62" s="6" t="s">
        <v>348</v>
      </c>
      <c r="G62">
        <f>C66/C93*100</f>
        <v>4.7967162698980079</v>
      </c>
      <c r="H62" s="6" t="s">
        <v>14</v>
      </c>
      <c r="I62">
        <v>1</v>
      </c>
      <c r="J62">
        <v>2</v>
      </c>
      <c r="L62" s="4"/>
      <c r="M62" s="4"/>
      <c r="N62" s="4"/>
    </row>
    <row r="63" spans="1:14" ht="13" x14ac:dyDescent="0.15">
      <c r="F63" s="6" t="s">
        <v>349</v>
      </c>
      <c r="G63">
        <f>(B84/$B$93)*100</f>
        <v>0.68358887664302714</v>
      </c>
      <c r="H63" s="6" t="s">
        <v>349</v>
      </c>
      <c r="I63">
        <v>0</v>
      </c>
      <c r="J63">
        <v>1</v>
      </c>
      <c r="L63" s="4"/>
      <c r="M63" s="4"/>
      <c r="N63" s="4"/>
    </row>
    <row r="64" spans="1:14" ht="13" x14ac:dyDescent="0.15">
      <c r="A64" t="s">
        <v>78</v>
      </c>
      <c r="B64">
        <v>0</v>
      </c>
      <c r="C64">
        <v>974.02391961698584</v>
      </c>
      <c r="D64">
        <v>0</v>
      </c>
      <c r="F64" s="6" t="s">
        <v>349</v>
      </c>
      <c r="G64">
        <f>C67/C93*100</f>
        <v>0.68358887664302703</v>
      </c>
      <c r="H64" s="6" t="s">
        <v>14</v>
      </c>
      <c r="I64">
        <v>1</v>
      </c>
      <c r="J64">
        <v>2</v>
      </c>
      <c r="L64" s="4"/>
      <c r="M64" s="4"/>
      <c r="N64" s="4"/>
    </row>
    <row r="65" spans="1:14" ht="13" x14ac:dyDescent="0.15">
      <c r="F65" s="6" t="s">
        <v>9</v>
      </c>
      <c r="G65">
        <f>(B85/$B$93)*100</f>
        <v>0.47319504300597592</v>
      </c>
      <c r="H65" s="6" t="s">
        <v>13</v>
      </c>
      <c r="I65">
        <v>0</v>
      </c>
      <c r="J65">
        <v>1</v>
      </c>
      <c r="L65" s="4"/>
      <c r="M65" s="4"/>
      <c r="N65" s="4"/>
    </row>
    <row r="66" spans="1:14" ht="13" x14ac:dyDescent="0.15">
      <c r="A66" t="s">
        <v>79</v>
      </c>
      <c r="B66">
        <v>0</v>
      </c>
      <c r="C66">
        <v>525.76148106587345</v>
      </c>
      <c r="D66">
        <v>0</v>
      </c>
      <c r="F66" s="6" t="s">
        <v>13</v>
      </c>
      <c r="G66">
        <f>(B86/$B$93)*100</f>
        <v>1.1388762052008234</v>
      </c>
      <c r="H66" s="6" t="s">
        <v>13</v>
      </c>
      <c r="I66">
        <v>0</v>
      </c>
      <c r="J66">
        <v>1</v>
      </c>
      <c r="L66" s="4"/>
      <c r="M66" s="4"/>
      <c r="N66" s="4"/>
    </row>
    <row r="67" spans="1:14" ht="13" x14ac:dyDescent="0.15">
      <c r="A67" t="s">
        <v>77</v>
      </c>
      <c r="B67">
        <v>0</v>
      </c>
      <c r="C67">
        <v>74.927237718739732</v>
      </c>
      <c r="D67">
        <v>0</v>
      </c>
      <c r="F67" s="6" t="s">
        <v>13</v>
      </c>
      <c r="G67">
        <f>C69/C93*100</f>
        <v>1.6120712482067991</v>
      </c>
      <c r="H67" s="6" t="s">
        <v>14</v>
      </c>
      <c r="I67">
        <v>1</v>
      </c>
      <c r="J67">
        <v>2</v>
      </c>
      <c r="L67" s="4"/>
      <c r="M67" s="4"/>
      <c r="N67" s="4"/>
    </row>
    <row r="68" spans="1:14" ht="13" x14ac:dyDescent="0.15">
      <c r="F68" s="6" t="s">
        <v>10</v>
      </c>
      <c r="G68">
        <f>(B87/$B$93)*100</f>
        <v>2.7532851888510406</v>
      </c>
      <c r="H68" s="6" t="s">
        <v>10</v>
      </c>
      <c r="I68">
        <v>0</v>
      </c>
      <c r="J68">
        <v>1</v>
      </c>
      <c r="L68" s="4"/>
      <c r="M68" s="4"/>
      <c r="N68" s="4"/>
    </row>
    <row r="69" spans="1:14" ht="13" x14ac:dyDescent="0.15">
      <c r="A69" t="s">
        <v>86</v>
      </c>
      <c r="B69">
        <v>0</v>
      </c>
      <c r="C69">
        <v>176.69691500409292</v>
      </c>
      <c r="D69">
        <v>0</v>
      </c>
      <c r="F69" s="6" t="s">
        <v>9</v>
      </c>
      <c r="G69">
        <f>(B88/$B$93)*100</f>
        <v>9.9366683507405966</v>
      </c>
      <c r="H69" s="6" t="s">
        <v>10</v>
      </c>
      <c r="I69">
        <v>0</v>
      </c>
      <c r="J69">
        <v>1</v>
      </c>
      <c r="L69" s="4"/>
      <c r="M69" s="4"/>
      <c r="N69" s="4"/>
    </row>
    <row r="70" spans="1:14" ht="13" x14ac:dyDescent="0.15">
      <c r="A70" t="s">
        <v>80</v>
      </c>
      <c r="B70">
        <v>0</v>
      </c>
      <c r="C70">
        <v>1390.9283752100444</v>
      </c>
      <c r="D70">
        <v>0</v>
      </c>
      <c r="F70" s="6" t="s">
        <v>10</v>
      </c>
      <c r="G70">
        <f>C70/C93*100</f>
        <v>12.689953539591633</v>
      </c>
      <c r="H70" s="6" t="s">
        <v>15</v>
      </c>
      <c r="I70">
        <v>1</v>
      </c>
      <c r="J70">
        <v>2</v>
      </c>
      <c r="L70" s="4"/>
      <c r="M70" s="4"/>
      <c r="N70" s="4"/>
    </row>
    <row r="71" spans="1:14" ht="13" x14ac:dyDescent="0.15">
      <c r="F71" s="6" t="s">
        <v>348</v>
      </c>
      <c r="G71">
        <f>(B89/$B$93)*100</f>
        <v>14.140641793383693</v>
      </c>
      <c r="H71" s="6" t="s">
        <v>348</v>
      </c>
      <c r="I71">
        <v>0</v>
      </c>
      <c r="J71">
        <v>1</v>
      </c>
      <c r="L71" s="4"/>
      <c r="M71" s="4"/>
      <c r="N71" s="4"/>
    </row>
    <row r="72" spans="1:14" ht="13" x14ac:dyDescent="0.15">
      <c r="A72" t="s">
        <v>82</v>
      </c>
      <c r="B72">
        <v>0</v>
      </c>
      <c r="C72">
        <v>1549.9363218891158</v>
      </c>
      <c r="D72">
        <v>0</v>
      </c>
      <c r="F72" s="6" t="s">
        <v>348</v>
      </c>
      <c r="G72">
        <f>C72/C93*100</f>
        <v>14.14064179338369</v>
      </c>
      <c r="H72" s="6" t="s">
        <v>15</v>
      </c>
      <c r="I72">
        <v>1</v>
      </c>
      <c r="J72">
        <v>2</v>
      </c>
      <c r="L72" s="4"/>
      <c r="M72" s="4"/>
      <c r="N72" s="4"/>
    </row>
    <row r="73" spans="1:14" ht="13" x14ac:dyDescent="0.15">
      <c r="F73" s="6" t="s">
        <v>349</v>
      </c>
      <c r="G73">
        <f>(B90/$B$93)*100</f>
        <v>0.23712747044677707</v>
      </c>
      <c r="H73" s="6" t="s">
        <v>349</v>
      </c>
      <c r="I73">
        <v>0</v>
      </c>
      <c r="J73">
        <v>1</v>
      </c>
      <c r="L73" s="4"/>
      <c r="M73" s="4"/>
      <c r="N73" s="4"/>
    </row>
    <row r="74" spans="1:14" ht="13" x14ac:dyDescent="0.15">
      <c r="A74" t="s">
        <v>84</v>
      </c>
      <c r="B74">
        <v>0</v>
      </c>
      <c r="C74">
        <v>25.99121629225581</v>
      </c>
      <c r="D74">
        <v>0</v>
      </c>
      <c r="F74" s="6" t="s">
        <v>349</v>
      </c>
      <c r="G74">
        <f>C74/C93*100</f>
        <v>0.23712747044677701</v>
      </c>
      <c r="H74" s="6" t="s">
        <v>15</v>
      </c>
      <c r="I74">
        <v>1</v>
      </c>
      <c r="J74">
        <v>2</v>
      </c>
      <c r="L74" s="4"/>
      <c r="M74" s="4"/>
      <c r="N74" s="4"/>
    </row>
    <row r="75" spans="1:14" ht="13" x14ac:dyDescent="0.15">
      <c r="F75" s="6" t="s">
        <v>9</v>
      </c>
      <c r="G75">
        <f>(B91/$B$93)*100</f>
        <v>2.9216896592069049E-2</v>
      </c>
      <c r="H75" s="6" t="s">
        <v>13</v>
      </c>
      <c r="I75">
        <v>0</v>
      </c>
      <c r="J75">
        <v>1</v>
      </c>
      <c r="L75" s="4"/>
      <c r="M75" s="4"/>
      <c r="N75" s="4"/>
    </row>
    <row r="76" spans="1:14" ht="13" x14ac:dyDescent="0.15">
      <c r="A76" t="s">
        <v>90</v>
      </c>
      <c r="B76">
        <v>0</v>
      </c>
      <c r="C76">
        <v>10.909952608584277</v>
      </c>
      <c r="D76">
        <v>0</v>
      </c>
      <c r="F76" s="6" t="s">
        <v>13</v>
      </c>
      <c r="G76">
        <f>(B92/$B$93)*100</f>
        <v>7.0318632475827203E-2</v>
      </c>
      <c r="H76" s="6" t="s">
        <v>13</v>
      </c>
      <c r="I76">
        <v>0</v>
      </c>
      <c r="J76">
        <v>1</v>
      </c>
      <c r="L76" s="4"/>
      <c r="M76" s="4"/>
      <c r="N76" s="4"/>
    </row>
    <row r="77" spans="1:14" ht="13" x14ac:dyDescent="0.15">
      <c r="A77" t="s">
        <v>50</v>
      </c>
      <c r="B77">
        <v>1042.172929326342</v>
      </c>
      <c r="C77">
        <v>0</v>
      </c>
      <c r="D77">
        <v>0</v>
      </c>
      <c r="F77" s="6" t="s">
        <v>13</v>
      </c>
      <c r="G77">
        <f>C76/C93*100</f>
        <v>9.9535529067896228E-2</v>
      </c>
      <c r="H77" s="6" t="s">
        <v>15</v>
      </c>
      <c r="I77">
        <v>1</v>
      </c>
      <c r="J77">
        <v>2</v>
      </c>
      <c r="L77" s="4"/>
      <c r="M77" s="4"/>
      <c r="N77" s="4"/>
    </row>
    <row r="78" spans="1:14" ht="13" x14ac:dyDescent="0.15">
      <c r="A78" t="s">
        <v>62</v>
      </c>
      <c r="B78">
        <v>3761.2256095988282</v>
      </c>
      <c r="C78">
        <v>0</v>
      </c>
      <c r="D78">
        <v>0</v>
      </c>
      <c r="G78">
        <f>SUM(G51:G77)</f>
        <v>199.99999999999997</v>
      </c>
      <c r="L78" s="4"/>
      <c r="M78" s="4"/>
      <c r="N78" s="4"/>
    </row>
    <row r="79" spans="1:14" ht="13" x14ac:dyDescent="0.15">
      <c r="A79" t="s">
        <v>64</v>
      </c>
      <c r="B79">
        <v>1063.2645127565972</v>
      </c>
      <c r="C79">
        <v>0</v>
      </c>
      <c r="D79">
        <v>0</v>
      </c>
      <c r="L79" s="4"/>
      <c r="M79" s="4"/>
      <c r="N79" s="4"/>
    </row>
    <row r="80" spans="1:14" ht="13" x14ac:dyDescent="0.15">
      <c r="A80" t="s">
        <v>66</v>
      </c>
      <c r="B80">
        <v>365.02415831823174</v>
      </c>
      <c r="C80">
        <v>0</v>
      </c>
      <c r="D80">
        <v>0</v>
      </c>
      <c r="L80" s="4"/>
      <c r="M80" s="4"/>
      <c r="N80" s="4"/>
    </row>
    <row r="81" spans="1:14" ht="13" x14ac:dyDescent="0.15">
      <c r="A81" t="s">
        <v>83</v>
      </c>
      <c r="B81">
        <v>211.32982269014539</v>
      </c>
      <c r="C81">
        <v>0</v>
      </c>
      <c r="D81">
        <v>0</v>
      </c>
      <c r="L81" s="4"/>
      <c r="M81" s="4"/>
      <c r="N81" s="4"/>
    </row>
    <row r="82" spans="1:14" ht="13" x14ac:dyDescent="0.15">
      <c r="A82" t="s">
        <v>95</v>
      </c>
      <c r="B82">
        <v>762.69409692684042</v>
      </c>
      <c r="C82">
        <v>0</v>
      </c>
      <c r="D82">
        <v>0</v>
      </c>
      <c r="L82" s="4"/>
      <c r="M82" s="4"/>
      <c r="N82" s="4"/>
    </row>
    <row r="83" spans="1:14" ht="13" x14ac:dyDescent="0.15">
      <c r="A83" t="s">
        <v>89</v>
      </c>
      <c r="B83">
        <v>525.76148106587345</v>
      </c>
      <c r="C83">
        <v>0</v>
      </c>
      <c r="D83">
        <v>0</v>
      </c>
      <c r="L83" s="4"/>
      <c r="M83" s="4"/>
      <c r="N83" s="4"/>
    </row>
    <row r="84" spans="1:14" ht="13" x14ac:dyDescent="0.15">
      <c r="A84" t="s">
        <v>88</v>
      </c>
      <c r="B84">
        <v>74.927237718739732</v>
      </c>
      <c r="C84">
        <v>0</v>
      </c>
      <c r="D84">
        <v>0</v>
      </c>
      <c r="L84" s="4"/>
      <c r="M84" s="4"/>
      <c r="N84" s="4"/>
    </row>
    <row r="85" spans="1:14" ht="13" x14ac:dyDescent="0.15">
      <c r="A85" t="s">
        <v>96</v>
      </c>
      <c r="B85">
        <v>51.8662586330422</v>
      </c>
      <c r="C85">
        <v>0</v>
      </c>
      <c r="D85">
        <v>0</v>
      </c>
      <c r="L85" s="4"/>
      <c r="M85" s="4"/>
      <c r="N85" s="4"/>
    </row>
    <row r="86" spans="1:14" ht="13" x14ac:dyDescent="0.15">
      <c r="A86" t="s">
        <v>97</v>
      </c>
      <c r="B86">
        <v>124.83065637105072</v>
      </c>
      <c r="C86">
        <v>0</v>
      </c>
      <c r="D86">
        <v>0</v>
      </c>
      <c r="L86" s="4"/>
      <c r="M86" s="4"/>
      <c r="N86" s="4"/>
    </row>
    <row r="87" spans="1:14" ht="13" x14ac:dyDescent="0.15">
      <c r="A87" t="s">
        <v>85</v>
      </c>
      <c r="B87">
        <v>301.78380734573557</v>
      </c>
      <c r="C87">
        <v>0</v>
      </c>
      <c r="D87">
        <v>0</v>
      </c>
      <c r="L87" s="4"/>
      <c r="M87" s="4"/>
      <c r="N87" s="4"/>
    </row>
    <row r="88" spans="1:14" ht="13" x14ac:dyDescent="0.15">
      <c r="A88" t="s">
        <v>98</v>
      </c>
      <c r="B88">
        <v>1089.1445678643088</v>
      </c>
      <c r="C88">
        <v>0</v>
      </c>
      <c r="D88">
        <v>0</v>
      </c>
      <c r="L88" s="4"/>
      <c r="M88" s="4"/>
      <c r="N88" s="4"/>
    </row>
    <row r="89" spans="1:14" ht="13" x14ac:dyDescent="0.15">
      <c r="A89" t="s">
        <v>92</v>
      </c>
      <c r="B89">
        <v>1549.9363218891158</v>
      </c>
      <c r="C89">
        <v>0</v>
      </c>
      <c r="D89">
        <v>0</v>
      </c>
      <c r="L89" s="4"/>
      <c r="M89" s="4"/>
      <c r="N89" s="4"/>
    </row>
    <row r="90" spans="1:14" ht="13" x14ac:dyDescent="0.15">
      <c r="A90" t="s">
        <v>93</v>
      </c>
      <c r="B90">
        <v>25.99121629225581</v>
      </c>
      <c r="C90">
        <v>0</v>
      </c>
      <c r="D90">
        <v>0</v>
      </c>
      <c r="L90" s="4"/>
      <c r="M90" s="4"/>
      <c r="N90" s="4"/>
    </row>
    <row r="91" spans="1:14" ht="13" x14ac:dyDescent="0.15">
      <c r="A91" t="s">
        <v>99</v>
      </c>
      <c r="B91">
        <v>3.2024239000322008</v>
      </c>
      <c r="C91">
        <v>0</v>
      </c>
      <c r="D91">
        <v>0</v>
      </c>
      <c r="L91" s="4"/>
      <c r="M91" s="4"/>
      <c r="N91" s="4"/>
    </row>
    <row r="92" spans="1:14" ht="13" x14ac:dyDescent="0.15">
      <c r="A92" t="s">
        <v>101</v>
      </c>
      <c r="B92">
        <v>7.7075287085520765</v>
      </c>
      <c r="C92">
        <v>0</v>
      </c>
      <c r="D92">
        <v>0</v>
      </c>
      <c r="L92" s="4"/>
      <c r="M92" s="4"/>
      <c r="N92" s="4"/>
    </row>
    <row r="93" spans="1:14" ht="13" x14ac:dyDescent="0.15">
      <c r="B93">
        <f>SUM(B77:B92)</f>
        <v>10960.86262940569</v>
      </c>
      <c r="C93">
        <f>SUM(C59:C76)</f>
        <v>10960.862629405692</v>
      </c>
      <c r="L93" s="4"/>
      <c r="M93" s="4"/>
      <c r="N93" s="4"/>
    </row>
    <row r="94" spans="1:14" ht="13" x14ac:dyDescent="0.15">
      <c r="L94" s="4"/>
      <c r="M94" s="4"/>
      <c r="N94" s="4"/>
    </row>
    <row r="95" spans="1:14" ht="13" x14ac:dyDescent="0.15">
      <c r="L95" s="4"/>
      <c r="M95" s="4"/>
      <c r="N95" s="4"/>
    </row>
    <row r="96" spans="1:14" ht="13" x14ac:dyDescent="0.15">
      <c r="L96" s="4"/>
      <c r="M96" s="4"/>
      <c r="N96" s="4"/>
    </row>
    <row r="97" spans="12:14" ht="13" x14ac:dyDescent="0.15">
      <c r="L97" s="4"/>
      <c r="M97" s="4"/>
      <c r="N97" s="4"/>
    </row>
    <row r="98" spans="12:14" ht="13" x14ac:dyDescent="0.15">
      <c r="L98" s="4"/>
      <c r="M98" s="4"/>
      <c r="N98" s="4"/>
    </row>
    <row r="99" spans="12:14" ht="13" x14ac:dyDescent="0.15">
      <c r="L99" s="4"/>
      <c r="M99" s="4"/>
      <c r="N99" s="4"/>
    </row>
    <row r="100" spans="12:14" ht="13" x14ac:dyDescent="0.15">
      <c r="L100" s="4"/>
      <c r="M100" s="4"/>
      <c r="N100" s="4"/>
    </row>
    <row r="101" spans="12:14" ht="13" x14ac:dyDescent="0.15">
      <c r="L101" s="4"/>
      <c r="M101" s="4"/>
      <c r="N101" s="4"/>
    </row>
    <row r="102" spans="12:14" ht="13" x14ac:dyDescent="0.15">
      <c r="L102" s="4"/>
      <c r="M102" s="4"/>
      <c r="N102" s="4"/>
    </row>
    <row r="103" spans="12:14" ht="13" x14ac:dyDescent="0.15">
      <c r="L103" s="4"/>
      <c r="M103" s="4"/>
      <c r="N103" s="4"/>
    </row>
    <row r="104" spans="12:14" ht="13" x14ac:dyDescent="0.15">
      <c r="L104" s="4"/>
      <c r="M104" s="4"/>
      <c r="N104" s="4"/>
    </row>
    <row r="105" spans="12:14" ht="13" x14ac:dyDescent="0.15">
      <c r="L105" s="4"/>
      <c r="M105" s="4"/>
      <c r="N105" s="4"/>
    </row>
    <row r="106" spans="12:14" ht="13" x14ac:dyDescent="0.15">
      <c r="L106" s="4"/>
      <c r="M106" s="4"/>
      <c r="N106" s="4"/>
    </row>
    <row r="107" spans="12:14" ht="13" x14ac:dyDescent="0.15">
      <c r="L107" s="4"/>
      <c r="M107" s="4"/>
      <c r="N107" s="4"/>
    </row>
    <row r="108" spans="12:14" ht="13" x14ac:dyDescent="0.15">
      <c r="L108" s="4"/>
      <c r="M108" s="4"/>
      <c r="N108" s="4"/>
    </row>
    <row r="109" spans="12:14" ht="13" x14ac:dyDescent="0.15">
      <c r="L109" s="4"/>
      <c r="M109" s="4"/>
      <c r="N109" s="4"/>
    </row>
    <row r="110" spans="12:14" ht="13" x14ac:dyDescent="0.15">
      <c r="L110" s="4"/>
      <c r="M110" s="4"/>
      <c r="N110" s="4"/>
    </row>
    <row r="111" spans="12:14" ht="13" x14ac:dyDescent="0.15">
      <c r="L111" s="4"/>
      <c r="M111" s="4"/>
      <c r="N111" s="4"/>
    </row>
    <row r="112" spans="12:14" ht="13" x14ac:dyDescent="0.15">
      <c r="L112" s="4"/>
      <c r="M112" s="4"/>
      <c r="N112" s="4"/>
    </row>
    <row r="113" spans="12:14" ht="13" x14ac:dyDescent="0.15">
      <c r="L113" s="4"/>
      <c r="M113" s="4"/>
      <c r="N113" s="4"/>
    </row>
    <row r="114" spans="12:14" ht="13" x14ac:dyDescent="0.15">
      <c r="L114" s="4"/>
      <c r="M114" s="4"/>
      <c r="N114" s="4"/>
    </row>
    <row r="115" spans="12:14" ht="13" x14ac:dyDescent="0.15">
      <c r="L115" s="4"/>
      <c r="M115" s="4"/>
      <c r="N115" s="4"/>
    </row>
    <row r="116" spans="12:14" ht="13" x14ac:dyDescent="0.15">
      <c r="L116" s="4"/>
      <c r="M116" s="4"/>
      <c r="N116" s="4"/>
    </row>
    <row r="117" spans="12:14" ht="13" x14ac:dyDescent="0.15">
      <c r="L117" s="4"/>
      <c r="M117" s="4"/>
      <c r="N117" s="4"/>
    </row>
    <row r="118" spans="12:14" ht="13" x14ac:dyDescent="0.15">
      <c r="L118" s="4"/>
      <c r="M118" s="4"/>
      <c r="N118" s="4"/>
    </row>
    <row r="119" spans="12:14" ht="13" x14ac:dyDescent="0.15">
      <c r="L119" s="4"/>
      <c r="M119" s="4"/>
      <c r="N119" s="4"/>
    </row>
    <row r="120" spans="12:14" ht="13" x14ac:dyDescent="0.15">
      <c r="L120" s="4"/>
      <c r="M120" s="4"/>
      <c r="N120" s="4"/>
    </row>
    <row r="121" spans="12:14" ht="13" x14ac:dyDescent="0.15">
      <c r="L121" s="4"/>
      <c r="M121" s="4"/>
      <c r="N121" s="4"/>
    </row>
    <row r="122" spans="12:14" ht="13" x14ac:dyDescent="0.15">
      <c r="L122" s="4"/>
      <c r="M122" s="4"/>
      <c r="N122" s="4"/>
    </row>
    <row r="123" spans="12:14" ht="13" x14ac:dyDescent="0.15">
      <c r="L123" s="4"/>
      <c r="M123" s="4"/>
      <c r="N123" s="4"/>
    </row>
    <row r="124" spans="12:14" ht="13" x14ac:dyDescent="0.15">
      <c r="L124" s="4"/>
      <c r="M124" s="4"/>
      <c r="N124" s="4"/>
    </row>
    <row r="125" spans="12:14" ht="13" x14ac:dyDescent="0.15">
      <c r="L125" s="4"/>
      <c r="M125" s="4"/>
      <c r="N125" s="4"/>
    </row>
    <row r="126" spans="12:14" ht="13" x14ac:dyDescent="0.15">
      <c r="L126" s="4"/>
      <c r="M126" s="4"/>
      <c r="N126" s="4"/>
    </row>
    <row r="127" spans="12:14" ht="13" x14ac:dyDescent="0.15">
      <c r="L127" s="4"/>
      <c r="M127" s="4"/>
      <c r="N127" s="4"/>
    </row>
    <row r="128" spans="12:14" ht="13" x14ac:dyDescent="0.15">
      <c r="L128" s="4"/>
      <c r="M128" s="4"/>
      <c r="N128" s="4"/>
    </row>
    <row r="129" spans="12:14" ht="13" x14ac:dyDescent="0.15">
      <c r="L129" s="4"/>
      <c r="M129" s="4"/>
      <c r="N129" s="4"/>
    </row>
    <row r="130" spans="12:14" ht="13" x14ac:dyDescent="0.15">
      <c r="L130" s="4"/>
      <c r="M130" s="4"/>
      <c r="N130" s="4"/>
    </row>
    <row r="131" spans="12:14" ht="13" x14ac:dyDescent="0.15">
      <c r="L131" s="4"/>
      <c r="M131" s="4"/>
      <c r="N131" s="4"/>
    </row>
    <row r="132" spans="12:14" ht="13" x14ac:dyDescent="0.15">
      <c r="L132" s="4"/>
      <c r="M132" s="4"/>
      <c r="N132" s="4"/>
    </row>
    <row r="133" spans="12:14" ht="13" x14ac:dyDescent="0.15">
      <c r="L133" s="4"/>
      <c r="M133" s="4"/>
      <c r="N133" s="4"/>
    </row>
    <row r="134" spans="12:14" ht="13" x14ac:dyDescent="0.15">
      <c r="L134" s="4"/>
      <c r="M134" s="4"/>
      <c r="N134" s="4"/>
    </row>
    <row r="135" spans="12:14" ht="13" x14ac:dyDescent="0.15">
      <c r="L135" s="4"/>
      <c r="M135" s="4"/>
      <c r="N135" s="4"/>
    </row>
    <row r="136" spans="12:14" ht="13" x14ac:dyDescent="0.15">
      <c r="L136" s="4"/>
      <c r="M136" s="4"/>
      <c r="N136" s="4"/>
    </row>
    <row r="137" spans="12:14" ht="13" x14ac:dyDescent="0.15">
      <c r="L137" s="4"/>
      <c r="M137" s="4"/>
      <c r="N137" s="4"/>
    </row>
    <row r="138" spans="12:14" ht="13" x14ac:dyDescent="0.15">
      <c r="L138" s="4"/>
      <c r="M138" s="4"/>
      <c r="N138" s="4"/>
    </row>
    <row r="139" spans="12:14" ht="13" x14ac:dyDescent="0.15">
      <c r="L139" s="4"/>
      <c r="M139" s="4"/>
      <c r="N139" s="4"/>
    </row>
    <row r="140" spans="12:14" ht="13" x14ac:dyDescent="0.15">
      <c r="L140" s="4"/>
      <c r="M140" s="4"/>
      <c r="N140" s="4"/>
    </row>
    <row r="141" spans="12:14" ht="13" x14ac:dyDescent="0.15">
      <c r="L141" s="4"/>
      <c r="M141" s="4"/>
      <c r="N141" s="4"/>
    </row>
    <row r="142" spans="12:14" ht="13" x14ac:dyDescent="0.15">
      <c r="L142" s="4"/>
      <c r="M142" s="4"/>
      <c r="N142" s="4"/>
    </row>
    <row r="143" spans="12:14" ht="13" x14ac:dyDescent="0.15">
      <c r="L143" s="4"/>
      <c r="M143" s="4"/>
      <c r="N143" s="4"/>
    </row>
    <row r="144" spans="12:14" ht="13" x14ac:dyDescent="0.15">
      <c r="L144" s="4"/>
      <c r="M144" s="4"/>
      <c r="N144" s="4"/>
    </row>
    <row r="145" spans="12:14" ht="13" x14ac:dyDescent="0.15">
      <c r="L145" s="4"/>
      <c r="M145" s="4"/>
      <c r="N145" s="4"/>
    </row>
    <row r="146" spans="12:14" ht="13" x14ac:dyDescent="0.15">
      <c r="L146" s="4"/>
      <c r="M146" s="4"/>
      <c r="N146" s="4"/>
    </row>
    <row r="147" spans="12:14" ht="13" x14ac:dyDescent="0.15">
      <c r="L147" s="4"/>
      <c r="M147" s="4"/>
      <c r="N147" s="4"/>
    </row>
    <row r="148" spans="12:14" ht="13" x14ac:dyDescent="0.15">
      <c r="L148" s="4"/>
      <c r="M148" s="4"/>
      <c r="N148" s="4"/>
    </row>
    <row r="149" spans="12:14" ht="13" x14ac:dyDescent="0.15">
      <c r="L149" s="4"/>
      <c r="M149" s="4"/>
      <c r="N149" s="4"/>
    </row>
    <row r="150" spans="12:14" ht="13" x14ac:dyDescent="0.15">
      <c r="L150" s="4"/>
      <c r="M150" s="4"/>
      <c r="N150" s="4"/>
    </row>
    <row r="151" spans="12:14" ht="13" x14ac:dyDescent="0.15">
      <c r="L151" s="4"/>
      <c r="M151" s="4"/>
      <c r="N151" s="4"/>
    </row>
    <row r="152" spans="12:14" ht="13" x14ac:dyDescent="0.15">
      <c r="L152" s="4"/>
      <c r="M152" s="4"/>
      <c r="N152" s="4"/>
    </row>
    <row r="153" spans="12:14" ht="13" x14ac:dyDescent="0.15">
      <c r="L153" s="4"/>
      <c r="M153" s="4"/>
      <c r="N153" s="4"/>
    </row>
    <row r="154" spans="12:14" ht="13" x14ac:dyDescent="0.15">
      <c r="L154" s="4"/>
      <c r="M154" s="4"/>
      <c r="N154" s="4"/>
    </row>
    <row r="155" spans="12:14" ht="13" x14ac:dyDescent="0.15">
      <c r="L155" s="4"/>
      <c r="M155" s="4"/>
      <c r="N155" s="4"/>
    </row>
    <row r="156" spans="12:14" ht="13" x14ac:dyDescent="0.15">
      <c r="L156" s="4"/>
      <c r="M156" s="4"/>
      <c r="N156" s="4"/>
    </row>
    <row r="157" spans="12:14" ht="13" x14ac:dyDescent="0.15">
      <c r="L157" s="4"/>
      <c r="M157" s="4"/>
      <c r="N157" s="4"/>
    </row>
    <row r="158" spans="12:14" ht="13" x14ac:dyDescent="0.15">
      <c r="L158" s="4"/>
      <c r="M158" s="4"/>
      <c r="N158" s="4"/>
    </row>
    <row r="159" spans="12:14" ht="13" x14ac:dyDescent="0.15">
      <c r="L159" s="4"/>
      <c r="M159" s="4"/>
      <c r="N159" s="4"/>
    </row>
    <row r="160" spans="12:14" ht="13" x14ac:dyDescent="0.15">
      <c r="L160" s="4"/>
      <c r="M160" s="4"/>
      <c r="N160" s="4"/>
    </row>
    <row r="161" spans="12:14" ht="13" x14ac:dyDescent="0.15">
      <c r="L161" s="4"/>
      <c r="M161" s="4"/>
      <c r="N161" s="4"/>
    </row>
    <row r="162" spans="12:14" ht="13" x14ac:dyDescent="0.15">
      <c r="L162" s="4"/>
      <c r="M162" s="4"/>
      <c r="N162" s="4"/>
    </row>
    <row r="163" spans="12:14" ht="13" x14ac:dyDescent="0.15">
      <c r="L163" s="4"/>
      <c r="M163" s="4"/>
      <c r="N163" s="4"/>
    </row>
    <row r="164" spans="12:14" ht="13" x14ac:dyDescent="0.15">
      <c r="L164" s="4"/>
      <c r="M164" s="4"/>
      <c r="N164" s="4"/>
    </row>
    <row r="165" spans="12:14" ht="13" x14ac:dyDescent="0.15">
      <c r="L165" s="4"/>
      <c r="M165" s="4"/>
      <c r="N165" s="4"/>
    </row>
    <row r="166" spans="12:14" ht="13" x14ac:dyDescent="0.15">
      <c r="L166" s="4"/>
      <c r="M166" s="4"/>
      <c r="N166" s="4"/>
    </row>
    <row r="167" spans="12:14" ht="13" x14ac:dyDescent="0.15">
      <c r="L167" s="4"/>
      <c r="M167" s="4"/>
      <c r="N167" s="4"/>
    </row>
    <row r="168" spans="12:14" ht="13" x14ac:dyDescent="0.15">
      <c r="L168" s="4"/>
      <c r="M168" s="4"/>
      <c r="N168" s="4"/>
    </row>
    <row r="169" spans="12:14" ht="13" x14ac:dyDescent="0.15">
      <c r="L169" s="4"/>
      <c r="M169" s="4"/>
      <c r="N169" s="4"/>
    </row>
    <row r="170" spans="12:14" ht="13" x14ac:dyDescent="0.15">
      <c r="L170" s="4"/>
      <c r="M170" s="4"/>
      <c r="N170" s="4"/>
    </row>
    <row r="171" spans="12:14" ht="13" x14ac:dyDescent="0.15">
      <c r="L171" s="4"/>
      <c r="M171" s="4"/>
      <c r="N171" s="4"/>
    </row>
    <row r="172" spans="12:14" ht="13" x14ac:dyDescent="0.15">
      <c r="L172" s="4"/>
      <c r="M172" s="4"/>
      <c r="N172" s="4"/>
    </row>
    <row r="173" spans="12:14" ht="13" x14ac:dyDescent="0.15">
      <c r="L173" s="4"/>
      <c r="M173" s="4"/>
      <c r="N173" s="4"/>
    </row>
    <row r="174" spans="12:14" ht="13" x14ac:dyDescent="0.15">
      <c r="L174" s="4"/>
      <c r="M174" s="4"/>
      <c r="N174" s="4"/>
    </row>
    <row r="175" spans="12:14" ht="13" x14ac:dyDescent="0.15">
      <c r="L175" s="4"/>
      <c r="M175" s="4"/>
      <c r="N175" s="4"/>
    </row>
    <row r="176" spans="12:14" ht="13" x14ac:dyDescent="0.15">
      <c r="L176" s="4"/>
      <c r="M176" s="4"/>
      <c r="N176" s="4"/>
    </row>
    <row r="177" spans="12:14" ht="13" x14ac:dyDescent="0.15">
      <c r="L177" s="4"/>
      <c r="M177" s="4"/>
      <c r="N177" s="4"/>
    </row>
    <row r="178" spans="12:14" ht="13" x14ac:dyDescent="0.15">
      <c r="L178" s="4"/>
      <c r="M178" s="4"/>
      <c r="N178" s="4"/>
    </row>
    <row r="179" spans="12:14" ht="13" x14ac:dyDescent="0.15">
      <c r="L179" s="4"/>
      <c r="M179" s="4"/>
      <c r="N179" s="4"/>
    </row>
    <row r="180" spans="12:14" ht="13" x14ac:dyDescent="0.15">
      <c r="L180" s="4"/>
      <c r="M180" s="4"/>
      <c r="N180" s="4"/>
    </row>
    <row r="181" spans="12:14" ht="13" x14ac:dyDescent="0.15">
      <c r="L181" s="4"/>
      <c r="M181" s="4"/>
      <c r="N181" s="4"/>
    </row>
    <row r="182" spans="12:14" ht="13" x14ac:dyDescent="0.15">
      <c r="L182" s="4"/>
      <c r="M182" s="4"/>
      <c r="N182" s="4"/>
    </row>
    <row r="183" spans="12:14" ht="13" x14ac:dyDescent="0.15">
      <c r="L183" s="4"/>
      <c r="M183" s="4"/>
      <c r="N183" s="4"/>
    </row>
    <row r="184" spans="12:14" ht="13" x14ac:dyDescent="0.15">
      <c r="L184" s="4"/>
      <c r="M184" s="4"/>
      <c r="N184" s="4"/>
    </row>
    <row r="185" spans="12:14" ht="13" x14ac:dyDescent="0.15">
      <c r="L185" s="4"/>
      <c r="M185" s="4"/>
      <c r="N185" s="4"/>
    </row>
    <row r="186" spans="12:14" ht="13" x14ac:dyDescent="0.15">
      <c r="L186" s="4"/>
      <c r="M186" s="4"/>
      <c r="N186" s="4"/>
    </row>
    <row r="187" spans="12:14" ht="13" x14ac:dyDescent="0.15">
      <c r="L187" s="4"/>
      <c r="M187" s="4"/>
      <c r="N187" s="4"/>
    </row>
    <row r="188" spans="12:14" ht="13" x14ac:dyDescent="0.15">
      <c r="L188" s="4"/>
      <c r="M188" s="4"/>
      <c r="N188" s="4"/>
    </row>
    <row r="189" spans="12:14" ht="13" x14ac:dyDescent="0.15">
      <c r="L189" s="4"/>
      <c r="M189" s="4"/>
      <c r="N189" s="4"/>
    </row>
    <row r="190" spans="12:14" ht="13" x14ac:dyDescent="0.15">
      <c r="L190" s="4"/>
      <c r="M190" s="4"/>
      <c r="N190" s="4"/>
    </row>
    <row r="191" spans="12:14" ht="13" x14ac:dyDescent="0.15">
      <c r="L191" s="4"/>
      <c r="M191" s="4"/>
      <c r="N191" s="4"/>
    </row>
    <row r="192" spans="12:14" ht="13" x14ac:dyDescent="0.15">
      <c r="L192" s="4"/>
      <c r="M192" s="4"/>
      <c r="N192" s="4"/>
    </row>
    <row r="193" spans="12:14" ht="13" x14ac:dyDescent="0.15">
      <c r="L193" s="4"/>
      <c r="M193" s="4"/>
      <c r="N193" s="4"/>
    </row>
    <row r="194" spans="12:14" ht="13" x14ac:dyDescent="0.15">
      <c r="L194" s="4"/>
      <c r="M194" s="4"/>
      <c r="N194" s="4"/>
    </row>
    <row r="195" spans="12:14" ht="13" x14ac:dyDescent="0.15">
      <c r="L195" s="4"/>
      <c r="M195" s="4"/>
      <c r="N195" s="4"/>
    </row>
    <row r="196" spans="12:14" ht="13" x14ac:dyDescent="0.15">
      <c r="L196" s="4"/>
      <c r="M196" s="4"/>
      <c r="N196" s="4"/>
    </row>
    <row r="197" spans="12:14" ht="13" x14ac:dyDescent="0.15">
      <c r="L197" s="4"/>
      <c r="M197" s="4"/>
      <c r="N197" s="4"/>
    </row>
    <row r="198" spans="12:14" ht="13" x14ac:dyDescent="0.15">
      <c r="L198" s="4"/>
      <c r="M198" s="4"/>
      <c r="N198" s="4"/>
    </row>
    <row r="199" spans="12:14" ht="13" x14ac:dyDescent="0.15">
      <c r="L199" s="4"/>
      <c r="M199" s="4"/>
      <c r="N199" s="4"/>
    </row>
    <row r="200" spans="12:14" ht="13" x14ac:dyDescent="0.15">
      <c r="L200" s="4"/>
      <c r="M200" s="4"/>
      <c r="N200" s="4"/>
    </row>
    <row r="201" spans="12:14" ht="13" x14ac:dyDescent="0.15">
      <c r="L201" s="4"/>
      <c r="M201" s="4"/>
      <c r="N201" s="4"/>
    </row>
    <row r="202" spans="12:14" ht="13" x14ac:dyDescent="0.15">
      <c r="L202" s="4"/>
      <c r="M202" s="4"/>
      <c r="N202" s="4"/>
    </row>
    <row r="203" spans="12:14" ht="13" x14ac:dyDescent="0.15">
      <c r="L203" s="4"/>
      <c r="M203" s="4"/>
      <c r="N203" s="4"/>
    </row>
    <row r="204" spans="12:14" ht="13" x14ac:dyDescent="0.15">
      <c r="L204" s="4"/>
      <c r="M204" s="4"/>
      <c r="N204" s="4"/>
    </row>
    <row r="205" spans="12:14" ht="13" x14ac:dyDescent="0.15">
      <c r="L205" s="4"/>
      <c r="M205" s="4"/>
      <c r="N205" s="4"/>
    </row>
    <row r="206" spans="12:14" ht="13" x14ac:dyDescent="0.15">
      <c r="L206" s="4"/>
      <c r="M206" s="4"/>
      <c r="N206" s="4"/>
    </row>
    <row r="207" spans="12:14" ht="13" x14ac:dyDescent="0.15">
      <c r="L207" s="4"/>
      <c r="M207" s="4"/>
      <c r="N207" s="4"/>
    </row>
    <row r="208" spans="12:14" ht="13" x14ac:dyDescent="0.15">
      <c r="L208" s="4"/>
      <c r="M208" s="4"/>
      <c r="N208" s="4"/>
    </row>
    <row r="209" spans="12:14" ht="13" x14ac:dyDescent="0.15">
      <c r="L209" s="4"/>
      <c r="M209" s="4"/>
      <c r="N209" s="4"/>
    </row>
    <row r="210" spans="12:14" ht="13" x14ac:dyDescent="0.15">
      <c r="L210" s="4"/>
      <c r="M210" s="4"/>
      <c r="N210" s="4"/>
    </row>
    <row r="211" spans="12:14" ht="13" x14ac:dyDescent="0.15">
      <c r="L211" s="4"/>
      <c r="M211" s="4"/>
      <c r="N211" s="4"/>
    </row>
    <row r="212" spans="12:14" ht="13" x14ac:dyDescent="0.15">
      <c r="L212" s="4"/>
      <c r="M212" s="4"/>
      <c r="N212" s="4"/>
    </row>
    <row r="213" spans="12:14" ht="13" x14ac:dyDescent="0.15">
      <c r="L213" s="4"/>
      <c r="M213" s="4"/>
      <c r="N213" s="4"/>
    </row>
    <row r="214" spans="12:14" ht="13" x14ac:dyDescent="0.15">
      <c r="L214" s="4"/>
      <c r="M214" s="4"/>
      <c r="N214" s="4"/>
    </row>
    <row r="215" spans="12:14" ht="13" x14ac:dyDescent="0.15">
      <c r="L215" s="4"/>
      <c r="M215" s="4"/>
      <c r="N215" s="4"/>
    </row>
    <row r="216" spans="12:14" ht="13" x14ac:dyDescent="0.15">
      <c r="L216" s="4"/>
      <c r="M216" s="4"/>
      <c r="N216" s="4"/>
    </row>
    <row r="217" spans="12:14" ht="13" x14ac:dyDescent="0.15">
      <c r="L217" s="4"/>
      <c r="M217" s="4"/>
      <c r="N217" s="4"/>
    </row>
    <row r="218" spans="12:14" ht="13" x14ac:dyDescent="0.15">
      <c r="L218" s="4"/>
      <c r="M218" s="4"/>
      <c r="N218" s="4"/>
    </row>
    <row r="219" spans="12:14" ht="13" x14ac:dyDescent="0.15">
      <c r="L219" s="4"/>
      <c r="M219" s="4"/>
      <c r="N219" s="4"/>
    </row>
    <row r="220" spans="12:14" ht="13" x14ac:dyDescent="0.15">
      <c r="L220" s="4"/>
      <c r="M220" s="4"/>
      <c r="N220" s="4"/>
    </row>
    <row r="221" spans="12:14" ht="13" x14ac:dyDescent="0.15">
      <c r="L221" s="4"/>
      <c r="M221" s="4"/>
      <c r="N221" s="4"/>
    </row>
    <row r="222" spans="12:14" ht="13" x14ac:dyDescent="0.15">
      <c r="L222" s="4"/>
      <c r="M222" s="4"/>
      <c r="N222" s="4"/>
    </row>
    <row r="223" spans="12:14" ht="13" x14ac:dyDescent="0.15">
      <c r="L223" s="4"/>
      <c r="M223" s="4"/>
      <c r="N223" s="4"/>
    </row>
    <row r="224" spans="12:14" ht="13" x14ac:dyDescent="0.15">
      <c r="L224" s="4"/>
      <c r="M224" s="4"/>
      <c r="N224" s="4"/>
    </row>
    <row r="225" spans="12:14" ht="13" x14ac:dyDescent="0.15">
      <c r="L225" s="4"/>
      <c r="M225" s="4"/>
      <c r="N225" s="4"/>
    </row>
    <row r="226" spans="12:14" ht="13" x14ac:dyDescent="0.15">
      <c r="L226" s="4"/>
      <c r="M226" s="4"/>
      <c r="N226" s="4"/>
    </row>
    <row r="227" spans="12:14" ht="13" x14ac:dyDescent="0.15">
      <c r="L227" s="4"/>
      <c r="M227" s="4"/>
      <c r="N227" s="4"/>
    </row>
    <row r="228" spans="12:14" ht="13" x14ac:dyDescent="0.15">
      <c r="L228" s="4"/>
      <c r="M228" s="4"/>
      <c r="N228" s="4"/>
    </row>
    <row r="229" spans="12:14" ht="13" x14ac:dyDescent="0.15">
      <c r="L229" s="4"/>
      <c r="M229" s="4"/>
      <c r="N229" s="4"/>
    </row>
    <row r="230" spans="12:14" ht="13" x14ac:dyDescent="0.15">
      <c r="L230" s="4"/>
      <c r="M230" s="4"/>
      <c r="N230" s="4"/>
    </row>
    <row r="231" spans="12:14" ht="13" x14ac:dyDescent="0.15">
      <c r="L231" s="4"/>
      <c r="M231" s="4"/>
      <c r="N231" s="4"/>
    </row>
    <row r="232" spans="12:14" ht="13" x14ac:dyDescent="0.15">
      <c r="L232" s="4"/>
      <c r="M232" s="4"/>
      <c r="N232" s="4"/>
    </row>
    <row r="233" spans="12:14" ht="13" x14ac:dyDescent="0.15">
      <c r="L233" s="4"/>
      <c r="M233" s="4"/>
      <c r="N233" s="4"/>
    </row>
    <row r="234" spans="12:14" ht="13" x14ac:dyDescent="0.15">
      <c r="L234" s="4"/>
      <c r="M234" s="4"/>
      <c r="N234" s="4"/>
    </row>
    <row r="235" spans="12:14" ht="13" x14ac:dyDescent="0.15">
      <c r="L235" s="4"/>
      <c r="M235" s="4"/>
      <c r="N235" s="4"/>
    </row>
    <row r="236" spans="12:14" ht="13" x14ac:dyDescent="0.15">
      <c r="L236" s="4"/>
      <c r="M236" s="4"/>
      <c r="N236" s="4"/>
    </row>
    <row r="237" spans="12:14" ht="13" x14ac:dyDescent="0.15">
      <c r="L237" s="4"/>
      <c r="M237" s="4"/>
      <c r="N237" s="4"/>
    </row>
    <row r="238" spans="12:14" ht="13" x14ac:dyDescent="0.15">
      <c r="L238" s="4"/>
      <c r="M238" s="4"/>
      <c r="N238" s="4"/>
    </row>
    <row r="239" spans="12:14" ht="13" x14ac:dyDescent="0.15">
      <c r="L239" s="4"/>
      <c r="M239" s="4"/>
      <c r="N239" s="4"/>
    </row>
    <row r="240" spans="12:14" ht="13" x14ac:dyDescent="0.15">
      <c r="L240" s="4"/>
      <c r="M240" s="4"/>
      <c r="N240" s="4"/>
    </row>
    <row r="241" spans="12:14" ht="13" x14ac:dyDescent="0.15">
      <c r="L241" s="4"/>
      <c r="M241" s="4"/>
      <c r="N241" s="4"/>
    </row>
    <row r="242" spans="12:14" ht="13" x14ac:dyDescent="0.15">
      <c r="L242" s="4"/>
      <c r="M242" s="4"/>
      <c r="N242" s="4"/>
    </row>
    <row r="243" spans="12:14" ht="13" x14ac:dyDescent="0.15">
      <c r="L243" s="4"/>
      <c r="M243" s="4"/>
      <c r="N243" s="4"/>
    </row>
    <row r="244" spans="12:14" ht="13" x14ac:dyDescent="0.15">
      <c r="L244" s="4"/>
      <c r="M244" s="4"/>
      <c r="N244" s="4"/>
    </row>
    <row r="245" spans="12:14" ht="13" x14ac:dyDescent="0.15">
      <c r="L245" s="4"/>
      <c r="M245" s="4"/>
      <c r="N245" s="4"/>
    </row>
    <row r="246" spans="12:14" ht="13" x14ac:dyDescent="0.15">
      <c r="L246" s="4"/>
      <c r="M246" s="4"/>
      <c r="N246" s="4"/>
    </row>
    <row r="247" spans="12:14" ht="13" x14ac:dyDescent="0.15">
      <c r="L247" s="4"/>
      <c r="M247" s="4"/>
      <c r="N247" s="4"/>
    </row>
    <row r="248" spans="12:14" ht="13" x14ac:dyDescent="0.15">
      <c r="L248" s="4"/>
      <c r="M248" s="4"/>
      <c r="N248" s="4"/>
    </row>
    <row r="249" spans="12:14" ht="13" x14ac:dyDescent="0.15">
      <c r="L249" s="4"/>
      <c r="M249" s="4"/>
      <c r="N249" s="4"/>
    </row>
    <row r="250" spans="12:14" ht="13" x14ac:dyDescent="0.15">
      <c r="L250" s="4"/>
      <c r="M250" s="4"/>
      <c r="N250" s="4"/>
    </row>
    <row r="251" spans="12:14" ht="13" x14ac:dyDescent="0.15">
      <c r="L251" s="4"/>
      <c r="M251" s="4"/>
      <c r="N251" s="4"/>
    </row>
    <row r="252" spans="12:14" ht="13" x14ac:dyDescent="0.15">
      <c r="L252" s="4"/>
      <c r="M252" s="4"/>
      <c r="N252" s="4"/>
    </row>
    <row r="253" spans="12:14" ht="13" x14ac:dyDescent="0.15">
      <c r="L253" s="4"/>
      <c r="M253" s="4"/>
      <c r="N253" s="4"/>
    </row>
    <row r="254" spans="12:14" ht="13" x14ac:dyDescent="0.15">
      <c r="L254" s="4"/>
      <c r="M254" s="4"/>
      <c r="N254" s="4"/>
    </row>
    <row r="255" spans="12:14" ht="13" x14ac:dyDescent="0.15">
      <c r="L255" s="4"/>
      <c r="M255" s="4"/>
      <c r="N255" s="4"/>
    </row>
    <row r="256" spans="12:14" ht="13" x14ac:dyDescent="0.15">
      <c r="L256" s="4"/>
      <c r="M256" s="4"/>
      <c r="N256" s="4"/>
    </row>
    <row r="257" spans="12:14" ht="13" x14ac:dyDescent="0.15">
      <c r="L257" s="4"/>
      <c r="M257" s="4"/>
      <c r="N257" s="4"/>
    </row>
    <row r="258" spans="12:14" ht="13" x14ac:dyDescent="0.15">
      <c r="L258" s="4"/>
      <c r="M258" s="4"/>
      <c r="N258" s="4"/>
    </row>
    <row r="259" spans="12:14" ht="13" x14ac:dyDescent="0.15">
      <c r="L259" s="4"/>
      <c r="M259" s="4"/>
      <c r="N259" s="4"/>
    </row>
    <row r="260" spans="12:14" ht="13" x14ac:dyDescent="0.15">
      <c r="L260" s="4"/>
      <c r="M260" s="4"/>
      <c r="N260" s="4"/>
    </row>
    <row r="261" spans="12:14" ht="13" x14ac:dyDescent="0.15">
      <c r="L261" s="4"/>
      <c r="M261" s="4"/>
      <c r="N261" s="4"/>
    </row>
    <row r="262" spans="12:14" ht="13" x14ac:dyDescent="0.15">
      <c r="L262" s="4"/>
      <c r="M262" s="4"/>
      <c r="N262" s="4"/>
    </row>
    <row r="263" spans="12:14" ht="13" x14ac:dyDescent="0.15">
      <c r="L263" s="4"/>
      <c r="M263" s="4"/>
      <c r="N263" s="4"/>
    </row>
    <row r="264" spans="12:14" ht="13" x14ac:dyDescent="0.15">
      <c r="L264" s="4"/>
      <c r="M264" s="4"/>
      <c r="N264" s="4"/>
    </row>
    <row r="265" spans="12:14" ht="13" x14ac:dyDescent="0.15">
      <c r="L265" s="4"/>
      <c r="M265" s="4"/>
      <c r="N265" s="4"/>
    </row>
    <row r="266" spans="12:14" ht="13" x14ac:dyDescent="0.15">
      <c r="L266" s="4"/>
      <c r="M266" s="4"/>
      <c r="N266" s="4"/>
    </row>
    <row r="267" spans="12:14" ht="13" x14ac:dyDescent="0.15">
      <c r="L267" s="4"/>
      <c r="M267" s="4"/>
      <c r="N267" s="4"/>
    </row>
    <row r="268" spans="12:14" ht="13" x14ac:dyDescent="0.15">
      <c r="L268" s="4"/>
      <c r="M268" s="4"/>
      <c r="N268" s="4"/>
    </row>
    <row r="269" spans="12:14" ht="13" x14ac:dyDescent="0.15">
      <c r="L269" s="4"/>
      <c r="M269" s="4"/>
      <c r="N269" s="4"/>
    </row>
    <row r="270" spans="12:14" ht="13" x14ac:dyDescent="0.15">
      <c r="L270" s="4"/>
      <c r="M270" s="4"/>
      <c r="N270" s="4"/>
    </row>
    <row r="271" spans="12:14" ht="13" x14ac:dyDescent="0.15">
      <c r="L271" s="4"/>
      <c r="M271" s="4"/>
      <c r="N271" s="4"/>
    </row>
    <row r="272" spans="12:14" ht="13" x14ac:dyDescent="0.15">
      <c r="L272" s="4"/>
      <c r="M272" s="4"/>
      <c r="N272" s="4"/>
    </row>
    <row r="273" spans="12:14" ht="13" x14ac:dyDescent="0.15">
      <c r="L273" s="4"/>
      <c r="M273" s="4"/>
      <c r="N273" s="4"/>
    </row>
    <row r="274" spans="12:14" ht="13" x14ac:dyDescent="0.15">
      <c r="L274" s="4"/>
      <c r="M274" s="4"/>
      <c r="N274" s="4"/>
    </row>
    <row r="275" spans="12:14" ht="13" x14ac:dyDescent="0.15">
      <c r="L275" s="4"/>
      <c r="M275" s="4"/>
      <c r="N275" s="4"/>
    </row>
    <row r="276" spans="12:14" ht="13" x14ac:dyDescent="0.15">
      <c r="L276" s="4"/>
      <c r="M276" s="4"/>
      <c r="N276" s="4"/>
    </row>
    <row r="277" spans="12:14" ht="13" x14ac:dyDescent="0.15">
      <c r="L277" s="4"/>
      <c r="M277" s="4"/>
      <c r="N277" s="4"/>
    </row>
    <row r="278" spans="12:14" ht="13" x14ac:dyDescent="0.15">
      <c r="L278" s="4"/>
      <c r="M278" s="4"/>
      <c r="N278" s="4"/>
    </row>
    <row r="279" spans="12:14" ht="13" x14ac:dyDescent="0.15">
      <c r="L279" s="4"/>
      <c r="M279" s="4"/>
      <c r="N279" s="4"/>
    </row>
    <row r="280" spans="12:14" ht="13" x14ac:dyDescent="0.15">
      <c r="L280" s="4"/>
      <c r="M280" s="4"/>
      <c r="N280" s="4"/>
    </row>
    <row r="281" spans="12:14" ht="13" x14ac:dyDescent="0.15">
      <c r="L281" s="4"/>
      <c r="M281" s="4"/>
      <c r="N281" s="4"/>
    </row>
    <row r="282" spans="12:14" ht="13" x14ac:dyDescent="0.15">
      <c r="L282" s="4"/>
      <c r="M282" s="4"/>
      <c r="N282" s="4"/>
    </row>
    <row r="283" spans="12:14" ht="13" x14ac:dyDescent="0.15">
      <c r="L283" s="4"/>
      <c r="M283" s="4"/>
      <c r="N283" s="4"/>
    </row>
    <row r="284" spans="12:14" ht="13" x14ac:dyDescent="0.15">
      <c r="L284" s="4"/>
      <c r="M284" s="4"/>
      <c r="N284" s="4"/>
    </row>
    <row r="285" spans="12:14" ht="13" x14ac:dyDescent="0.15">
      <c r="L285" s="4"/>
      <c r="M285" s="4"/>
      <c r="N285" s="4"/>
    </row>
    <row r="286" spans="12:14" ht="13" x14ac:dyDescent="0.15">
      <c r="L286" s="4"/>
      <c r="M286" s="4"/>
      <c r="N286" s="4"/>
    </row>
    <row r="287" spans="12:14" ht="13" x14ac:dyDescent="0.15">
      <c r="L287" s="4"/>
      <c r="M287" s="4"/>
      <c r="N287" s="4"/>
    </row>
    <row r="288" spans="12:14" ht="13" x14ac:dyDescent="0.15">
      <c r="L288" s="4"/>
      <c r="M288" s="4"/>
      <c r="N288" s="4"/>
    </row>
    <row r="289" spans="12:14" ht="13" x14ac:dyDescent="0.15">
      <c r="L289" s="4"/>
      <c r="M289" s="4"/>
      <c r="N289" s="4"/>
    </row>
    <row r="290" spans="12:14" ht="13" x14ac:dyDescent="0.15">
      <c r="L290" s="4"/>
      <c r="M290" s="4"/>
      <c r="N290" s="4"/>
    </row>
    <row r="291" spans="12:14" ht="13" x14ac:dyDescent="0.15">
      <c r="L291" s="4"/>
      <c r="M291" s="4"/>
      <c r="N291" s="4"/>
    </row>
    <row r="292" spans="12:14" ht="13" x14ac:dyDescent="0.15">
      <c r="L292" s="4"/>
      <c r="M292" s="4"/>
      <c r="N292" s="4"/>
    </row>
    <row r="293" spans="12:14" ht="13" x14ac:dyDescent="0.15">
      <c r="L293" s="4"/>
      <c r="M293" s="4"/>
      <c r="N293" s="4"/>
    </row>
    <row r="294" spans="12:14" ht="13" x14ac:dyDescent="0.15">
      <c r="L294" s="4"/>
      <c r="M294" s="4"/>
      <c r="N294" s="4"/>
    </row>
    <row r="295" spans="12:14" ht="13" x14ac:dyDescent="0.15">
      <c r="L295" s="4"/>
      <c r="M295" s="4"/>
      <c r="N295" s="4"/>
    </row>
    <row r="296" spans="12:14" ht="13" x14ac:dyDescent="0.15">
      <c r="L296" s="4"/>
      <c r="M296" s="4"/>
      <c r="N296" s="4"/>
    </row>
    <row r="297" spans="12:14" ht="13" x14ac:dyDescent="0.15">
      <c r="L297" s="4"/>
      <c r="M297" s="4"/>
      <c r="N297" s="4"/>
    </row>
    <row r="298" spans="12:14" ht="13" x14ac:dyDescent="0.15">
      <c r="L298" s="4"/>
      <c r="M298" s="4"/>
      <c r="N298" s="4"/>
    </row>
    <row r="299" spans="12:14" ht="13" x14ac:dyDescent="0.15">
      <c r="L299" s="4"/>
      <c r="M299" s="4"/>
      <c r="N299" s="4"/>
    </row>
    <row r="300" spans="12:14" ht="13" x14ac:dyDescent="0.15">
      <c r="L300" s="4"/>
      <c r="M300" s="4"/>
      <c r="N300" s="4"/>
    </row>
    <row r="301" spans="12:14" ht="13" x14ac:dyDescent="0.15">
      <c r="L301" s="4"/>
      <c r="M301" s="4"/>
      <c r="N301" s="4"/>
    </row>
    <row r="302" spans="12:14" ht="13" x14ac:dyDescent="0.15">
      <c r="L302" s="4"/>
      <c r="M302" s="4"/>
      <c r="N302" s="4"/>
    </row>
    <row r="303" spans="12:14" ht="13" x14ac:dyDescent="0.15">
      <c r="L303" s="4"/>
      <c r="M303" s="4"/>
      <c r="N303" s="4"/>
    </row>
    <row r="304" spans="12:14" ht="13" x14ac:dyDescent="0.15">
      <c r="L304" s="4"/>
      <c r="M304" s="4"/>
      <c r="N304" s="4"/>
    </row>
    <row r="305" spans="12:14" ht="13" x14ac:dyDescent="0.15">
      <c r="L305" s="4"/>
      <c r="M305" s="4"/>
      <c r="N305" s="4"/>
    </row>
    <row r="306" spans="12:14" ht="13" x14ac:dyDescent="0.15">
      <c r="L306" s="4"/>
      <c r="M306" s="4"/>
      <c r="N306" s="4"/>
    </row>
    <row r="307" spans="12:14" ht="13" x14ac:dyDescent="0.15">
      <c r="L307" s="4"/>
      <c r="M307" s="4"/>
      <c r="N307" s="4"/>
    </row>
    <row r="308" spans="12:14" ht="13" x14ac:dyDescent="0.15">
      <c r="L308" s="4"/>
      <c r="M308" s="4"/>
      <c r="N308" s="4"/>
    </row>
    <row r="309" spans="12:14" ht="13" x14ac:dyDescent="0.15">
      <c r="L309" s="4"/>
      <c r="M309" s="4"/>
      <c r="N309" s="4"/>
    </row>
    <row r="310" spans="12:14" ht="13" x14ac:dyDescent="0.15">
      <c r="L310" s="4"/>
      <c r="M310" s="4"/>
      <c r="N310" s="4"/>
    </row>
    <row r="311" spans="12:14" ht="13" x14ac:dyDescent="0.15">
      <c r="L311" s="4"/>
      <c r="M311" s="4"/>
      <c r="N311" s="4"/>
    </row>
    <row r="312" spans="12:14" ht="13" x14ac:dyDescent="0.15">
      <c r="L312" s="4"/>
      <c r="M312" s="4"/>
      <c r="N312" s="4"/>
    </row>
    <row r="313" spans="12:14" ht="13" x14ac:dyDescent="0.15">
      <c r="L313" s="4"/>
      <c r="M313" s="4"/>
      <c r="N313" s="4"/>
    </row>
    <row r="314" spans="12:14" ht="13" x14ac:dyDescent="0.15">
      <c r="L314" s="4"/>
      <c r="M314" s="4"/>
      <c r="N314" s="4"/>
    </row>
    <row r="315" spans="12:14" ht="13" x14ac:dyDescent="0.15">
      <c r="L315" s="4"/>
      <c r="M315" s="4"/>
      <c r="N315" s="4"/>
    </row>
    <row r="316" spans="12:14" ht="13" x14ac:dyDescent="0.15">
      <c r="L316" s="4"/>
      <c r="M316" s="4"/>
      <c r="N316" s="4"/>
    </row>
    <row r="317" spans="12:14" ht="13" x14ac:dyDescent="0.15">
      <c r="L317" s="4"/>
      <c r="M317" s="4"/>
      <c r="N317" s="4"/>
    </row>
    <row r="318" spans="12:14" ht="13" x14ac:dyDescent="0.15">
      <c r="L318" s="4"/>
      <c r="M318" s="4"/>
      <c r="N318" s="4"/>
    </row>
    <row r="319" spans="12:14" ht="13" x14ac:dyDescent="0.15">
      <c r="L319" s="4"/>
      <c r="M319" s="4"/>
      <c r="N319" s="4"/>
    </row>
    <row r="320" spans="12:14" ht="13" x14ac:dyDescent="0.15">
      <c r="L320" s="4"/>
      <c r="M320" s="4"/>
      <c r="N320" s="4"/>
    </row>
    <row r="321" spans="12:14" ht="13" x14ac:dyDescent="0.15">
      <c r="L321" s="4"/>
      <c r="M321" s="4"/>
      <c r="N321" s="4"/>
    </row>
    <row r="322" spans="12:14" ht="13" x14ac:dyDescent="0.15">
      <c r="L322" s="4"/>
      <c r="M322" s="4"/>
      <c r="N322" s="4"/>
    </row>
    <row r="323" spans="12:14" ht="13" x14ac:dyDescent="0.15">
      <c r="L323" s="4"/>
      <c r="M323" s="4"/>
      <c r="N323" s="4"/>
    </row>
    <row r="324" spans="12:14" ht="13" x14ac:dyDescent="0.15">
      <c r="L324" s="4"/>
      <c r="M324" s="4"/>
      <c r="N324" s="4"/>
    </row>
    <row r="325" spans="12:14" ht="13" x14ac:dyDescent="0.15">
      <c r="L325" s="4"/>
      <c r="M325" s="4"/>
      <c r="N325" s="4"/>
    </row>
    <row r="326" spans="12:14" ht="13" x14ac:dyDescent="0.15">
      <c r="L326" s="4"/>
      <c r="M326" s="4"/>
      <c r="N326" s="4"/>
    </row>
    <row r="327" spans="12:14" ht="13" x14ac:dyDescent="0.15">
      <c r="L327" s="4"/>
      <c r="M327" s="4"/>
      <c r="N327" s="4"/>
    </row>
    <row r="328" spans="12:14" ht="13" x14ac:dyDescent="0.15">
      <c r="L328" s="4"/>
      <c r="M328" s="4"/>
      <c r="N328" s="4"/>
    </row>
    <row r="329" spans="12:14" ht="13" x14ac:dyDescent="0.15">
      <c r="L329" s="4"/>
      <c r="M329" s="4"/>
      <c r="N329" s="4"/>
    </row>
    <row r="330" spans="12:14" ht="13" x14ac:dyDescent="0.15">
      <c r="L330" s="4"/>
      <c r="M330" s="4"/>
      <c r="N330" s="4"/>
    </row>
    <row r="331" spans="12:14" ht="13" x14ac:dyDescent="0.15">
      <c r="L331" s="4"/>
      <c r="M331" s="4"/>
      <c r="N331" s="4"/>
    </row>
    <row r="332" spans="12:14" ht="13" x14ac:dyDescent="0.15">
      <c r="L332" s="4"/>
      <c r="M332" s="4"/>
      <c r="N332" s="4"/>
    </row>
    <row r="333" spans="12:14" ht="13" x14ac:dyDescent="0.15">
      <c r="L333" s="4"/>
      <c r="M333" s="4"/>
      <c r="N333" s="4"/>
    </row>
    <row r="334" spans="12:14" ht="13" x14ac:dyDescent="0.15">
      <c r="L334" s="4"/>
      <c r="M334" s="4"/>
      <c r="N334" s="4"/>
    </row>
    <row r="335" spans="12:14" ht="13" x14ac:dyDescent="0.15">
      <c r="L335" s="4"/>
      <c r="M335" s="4"/>
      <c r="N335" s="4"/>
    </row>
    <row r="336" spans="12:14" ht="13" x14ac:dyDescent="0.15">
      <c r="L336" s="4"/>
      <c r="M336" s="4"/>
      <c r="N336" s="4"/>
    </row>
    <row r="337" spans="12:14" ht="13" x14ac:dyDescent="0.15">
      <c r="L337" s="4"/>
      <c r="M337" s="4"/>
      <c r="N337" s="4"/>
    </row>
    <row r="338" spans="12:14" ht="13" x14ac:dyDescent="0.15">
      <c r="L338" s="4"/>
      <c r="M338" s="4"/>
      <c r="N338" s="4"/>
    </row>
    <row r="339" spans="12:14" ht="13" x14ac:dyDescent="0.15">
      <c r="L339" s="4"/>
      <c r="M339" s="4"/>
      <c r="N339" s="4"/>
    </row>
    <row r="340" spans="12:14" ht="13" x14ac:dyDescent="0.15">
      <c r="L340" s="4"/>
      <c r="M340" s="4"/>
      <c r="N340" s="4"/>
    </row>
    <row r="341" spans="12:14" ht="13" x14ac:dyDescent="0.15">
      <c r="L341" s="4"/>
      <c r="M341" s="4"/>
      <c r="N341" s="4"/>
    </row>
    <row r="342" spans="12:14" ht="13" x14ac:dyDescent="0.15">
      <c r="L342" s="4"/>
      <c r="M342" s="4"/>
      <c r="N342" s="4"/>
    </row>
    <row r="343" spans="12:14" ht="13" x14ac:dyDescent="0.15">
      <c r="L343" s="4"/>
      <c r="M343" s="4"/>
      <c r="N343" s="4"/>
    </row>
    <row r="344" spans="12:14" ht="13" x14ac:dyDescent="0.15">
      <c r="L344" s="4"/>
      <c r="M344" s="4"/>
      <c r="N344" s="4"/>
    </row>
    <row r="345" spans="12:14" ht="13" x14ac:dyDescent="0.15">
      <c r="L345" s="4"/>
      <c r="M345" s="4"/>
      <c r="N345" s="4"/>
    </row>
    <row r="346" spans="12:14" ht="13" x14ac:dyDescent="0.15">
      <c r="L346" s="4"/>
      <c r="M346" s="4"/>
      <c r="N346" s="4"/>
    </row>
    <row r="347" spans="12:14" ht="13" x14ac:dyDescent="0.15">
      <c r="L347" s="4"/>
      <c r="M347" s="4"/>
      <c r="N347" s="4"/>
    </row>
    <row r="348" spans="12:14" ht="13" x14ac:dyDescent="0.15">
      <c r="L348" s="4"/>
      <c r="M348" s="4"/>
      <c r="N348" s="4"/>
    </row>
    <row r="349" spans="12:14" ht="13" x14ac:dyDescent="0.15">
      <c r="L349" s="4"/>
      <c r="M349" s="4"/>
      <c r="N349" s="4"/>
    </row>
    <row r="350" spans="12:14" ht="13" x14ac:dyDescent="0.15">
      <c r="L350" s="4"/>
      <c r="M350" s="4"/>
      <c r="N350" s="4"/>
    </row>
    <row r="351" spans="12:14" ht="13" x14ac:dyDescent="0.15">
      <c r="L351" s="4"/>
      <c r="M351" s="4"/>
      <c r="N351" s="4"/>
    </row>
    <row r="352" spans="12:14" ht="13" x14ac:dyDescent="0.15">
      <c r="L352" s="4"/>
      <c r="M352" s="4"/>
      <c r="N352" s="4"/>
    </row>
    <row r="353" spans="12:14" ht="13" x14ac:dyDescent="0.15">
      <c r="L353" s="4"/>
      <c r="M353" s="4"/>
      <c r="N353" s="4"/>
    </row>
    <row r="354" spans="12:14" ht="13" x14ac:dyDescent="0.15">
      <c r="L354" s="4"/>
      <c r="M354" s="4"/>
      <c r="N354" s="4"/>
    </row>
    <row r="355" spans="12:14" ht="13" x14ac:dyDescent="0.15">
      <c r="L355" s="4"/>
      <c r="M355" s="4"/>
      <c r="N355" s="4"/>
    </row>
    <row r="356" spans="12:14" ht="13" x14ac:dyDescent="0.15">
      <c r="L356" s="4"/>
      <c r="M356" s="4"/>
      <c r="N356" s="4"/>
    </row>
    <row r="357" spans="12:14" ht="13" x14ac:dyDescent="0.15">
      <c r="L357" s="4"/>
      <c r="M357" s="4"/>
      <c r="N357" s="4"/>
    </row>
    <row r="358" spans="12:14" ht="13" x14ac:dyDescent="0.15">
      <c r="L358" s="4"/>
      <c r="M358" s="4"/>
      <c r="N358" s="4"/>
    </row>
    <row r="359" spans="12:14" ht="13" x14ac:dyDescent="0.15">
      <c r="L359" s="4"/>
      <c r="M359" s="4"/>
      <c r="N359" s="4"/>
    </row>
    <row r="360" spans="12:14" ht="13" x14ac:dyDescent="0.15">
      <c r="L360" s="4"/>
      <c r="M360" s="4"/>
      <c r="N360" s="4"/>
    </row>
    <row r="361" spans="12:14" ht="13" x14ac:dyDescent="0.15">
      <c r="L361" s="4"/>
      <c r="M361" s="4"/>
      <c r="N361" s="4"/>
    </row>
    <row r="362" spans="12:14" ht="13" x14ac:dyDescent="0.15">
      <c r="L362" s="4"/>
      <c r="M362" s="4"/>
      <c r="N362" s="4"/>
    </row>
    <row r="363" spans="12:14" ht="13" x14ac:dyDescent="0.15">
      <c r="L363" s="4"/>
      <c r="M363" s="4"/>
      <c r="N363" s="4"/>
    </row>
    <row r="364" spans="12:14" ht="13" x14ac:dyDescent="0.15">
      <c r="L364" s="4"/>
      <c r="M364" s="4"/>
      <c r="N364" s="4"/>
    </row>
    <row r="365" spans="12:14" ht="13" x14ac:dyDescent="0.15">
      <c r="L365" s="4"/>
      <c r="M365" s="4"/>
      <c r="N365" s="4"/>
    </row>
    <row r="366" spans="12:14" ht="13" x14ac:dyDescent="0.15">
      <c r="L366" s="4"/>
      <c r="M366" s="4"/>
      <c r="N366" s="4"/>
    </row>
    <row r="367" spans="12:14" ht="13" x14ac:dyDescent="0.15">
      <c r="L367" s="4"/>
      <c r="M367" s="4"/>
      <c r="N367" s="4"/>
    </row>
    <row r="368" spans="12:14" ht="13" x14ac:dyDescent="0.15">
      <c r="L368" s="4"/>
      <c r="M368" s="4"/>
      <c r="N368" s="4"/>
    </row>
    <row r="369" spans="12:14" ht="13" x14ac:dyDescent="0.15">
      <c r="L369" s="4"/>
      <c r="M369" s="4"/>
      <c r="N369" s="4"/>
    </row>
    <row r="370" spans="12:14" ht="13" x14ac:dyDescent="0.15">
      <c r="L370" s="4"/>
      <c r="M370" s="4"/>
      <c r="N370" s="4"/>
    </row>
    <row r="371" spans="12:14" ht="13" x14ac:dyDescent="0.15">
      <c r="L371" s="4"/>
      <c r="M371" s="4"/>
      <c r="N371" s="4"/>
    </row>
    <row r="372" spans="12:14" ht="13" x14ac:dyDescent="0.15">
      <c r="L372" s="4"/>
      <c r="M372" s="4"/>
      <c r="N372" s="4"/>
    </row>
    <row r="373" spans="12:14" ht="13" x14ac:dyDescent="0.15">
      <c r="L373" s="4"/>
      <c r="M373" s="4"/>
      <c r="N373" s="4"/>
    </row>
    <row r="374" spans="12:14" ht="13" x14ac:dyDescent="0.15">
      <c r="L374" s="4"/>
      <c r="M374" s="4"/>
      <c r="N374" s="4"/>
    </row>
    <row r="375" spans="12:14" ht="13" x14ac:dyDescent="0.15">
      <c r="L375" s="4"/>
      <c r="M375" s="4"/>
      <c r="N375" s="4"/>
    </row>
    <row r="376" spans="12:14" ht="13" x14ac:dyDescent="0.15">
      <c r="L376" s="4"/>
      <c r="M376" s="4"/>
      <c r="N376" s="4"/>
    </row>
    <row r="377" spans="12:14" ht="13" x14ac:dyDescent="0.15">
      <c r="L377" s="4"/>
      <c r="M377" s="4"/>
      <c r="N377" s="4"/>
    </row>
    <row r="378" spans="12:14" ht="13" x14ac:dyDescent="0.15">
      <c r="L378" s="4"/>
      <c r="M378" s="4"/>
      <c r="N378" s="4"/>
    </row>
    <row r="379" spans="12:14" ht="13" x14ac:dyDescent="0.15">
      <c r="L379" s="4"/>
      <c r="M379" s="4"/>
      <c r="N379" s="4"/>
    </row>
    <row r="380" spans="12:14" ht="13" x14ac:dyDescent="0.15">
      <c r="L380" s="4"/>
      <c r="M380" s="4"/>
      <c r="N380" s="4"/>
    </row>
    <row r="381" spans="12:14" ht="13" x14ac:dyDescent="0.15">
      <c r="L381" s="4"/>
      <c r="M381" s="4"/>
      <c r="N381" s="4"/>
    </row>
    <row r="382" spans="12:14" ht="13" x14ac:dyDescent="0.15">
      <c r="L382" s="4"/>
      <c r="M382" s="4"/>
      <c r="N382" s="4"/>
    </row>
    <row r="383" spans="12:14" ht="13" x14ac:dyDescent="0.15">
      <c r="L383" s="4"/>
      <c r="M383" s="4"/>
      <c r="N383" s="4"/>
    </row>
    <row r="384" spans="12:14" ht="13" x14ac:dyDescent="0.15">
      <c r="L384" s="4"/>
      <c r="M384" s="4"/>
      <c r="N384" s="4"/>
    </row>
    <row r="385" spans="12:14" ht="13" x14ac:dyDescent="0.15">
      <c r="L385" s="4"/>
      <c r="M385" s="4"/>
      <c r="N385" s="4"/>
    </row>
    <row r="386" spans="12:14" ht="13" x14ac:dyDescent="0.15">
      <c r="L386" s="4"/>
      <c r="M386" s="4"/>
      <c r="N386" s="4"/>
    </row>
    <row r="387" spans="12:14" ht="13" x14ac:dyDescent="0.15">
      <c r="L387" s="4"/>
      <c r="M387" s="4"/>
      <c r="N387" s="4"/>
    </row>
    <row r="388" spans="12:14" ht="13" x14ac:dyDescent="0.15">
      <c r="L388" s="4"/>
      <c r="M388" s="4"/>
      <c r="N388" s="4"/>
    </row>
    <row r="389" spans="12:14" ht="13" x14ac:dyDescent="0.15">
      <c r="L389" s="4"/>
      <c r="M389" s="4"/>
      <c r="N389" s="4"/>
    </row>
    <row r="390" spans="12:14" ht="13" x14ac:dyDescent="0.15">
      <c r="L390" s="4"/>
      <c r="M390" s="4"/>
      <c r="N390" s="4"/>
    </row>
    <row r="391" spans="12:14" ht="13" x14ac:dyDescent="0.15">
      <c r="L391" s="4"/>
      <c r="M391" s="4"/>
      <c r="N391" s="4"/>
    </row>
    <row r="392" spans="12:14" ht="13" x14ac:dyDescent="0.15">
      <c r="L392" s="4"/>
      <c r="M392" s="4"/>
      <c r="N392" s="4"/>
    </row>
    <row r="393" spans="12:14" ht="13" x14ac:dyDescent="0.15">
      <c r="L393" s="4"/>
      <c r="M393" s="4"/>
      <c r="N393" s="4"/>
    </row>
    <row r="394" spans="12:14" ht="13" x14ac:dyDescent="0.15">
      <c r="L394" s="4"/>
      <c r="M394" s="4"/>
      <c r="N394" s="4"/>
    </row>
    <row r="395" spans="12:14" ht="13" x14ac:dyDescent="0.15">
      <c r="L395" s="4"/>
      <c r="M395" s="4"/>
      <c r="N395" s="4"/>
    </row>
    <row r="396" spans="12:14" ht="13" x14ac:dyDescent="0.15">
      <c r="L396" s="4"/>
      <c r="M396" s="4"/>
      <c r="N396" s="4"/>
    </row>
    <row r="397" spans="12:14" ht="13" x14ac:dyDescent="0.15">
      <c r="L397" s="4"/>
      <c r="M397" s="4"/>
      <c r="N397" s="4"/>
    </row>
    <row r="398" spans="12:14" ht="13" x14ac:dyDescent="0.15">
      <c r="L398" s="4"/>
      <c r="M398" s="4"/>
      <c r="N398" s="4"/>
    </row>
    <row r="399" spans="12:14" ht="13" x14ac:dyDescent="0.15">
      <c r="L399" s="4"/>
      <c r="M399" s="4"/>
      <c r="N399" s="4"/>
    </row>
    <row r="400" spans="12:14" ht="13" x14ac:dyDescent="0.15">
      <c r="L400" s="4"/>
      <c r="M400" s="4"/>
      <c r="N400" s="4"/>
    </row>
    <row r="401" spans="12:14" ht="13" x14ac:dyDescent="0.15">
      <c r="L401" s="4"/>
      <c r="M401" s="4"/>
      <c r="N401" s="4"/>
    </row>
    <row r="402" spans="12:14" ht="13" x14ac:dyDescent="0.15">
      <c r="L402" s="4"/>
      <c r="M402" s="4"/>
      <c r="N402" s="4"/>
    </row>
    <row r="403" spans="12:14" ht="13" x14ac:dyDescent="0.15">
      <c r="L403" s="4"/>
      <c r="M403" s="4"/>
      <c r="N403" s="4"/>
    </row>
    <row r="404" spans="12:14" ht="13" x14ac:dyDescent="0.15">
      <c r="L404" s="4"/>
      <c r="M404" s="4"/>
      <c r="N404" s="4"/>
    </row>
    <row r="405" spans="12:14" ht="13" x14ac:dyDescent="0.15">
      <c r="L405" s="4"/>
      <c r="M405" s="4"/>
      <c r="N405" s="4"/>
    </row>
    <row r="406" spans="12:14" ht="13" x14ac:dyDescent="0.15">
      <c r="L406" s="4"/>
      <c r="M406" s="4"/>
      <c r="N406" s="4"/>
    </row>
    <row r="407" spans="12:14" ht="13" x14ac:dyDescent="0.15">
      <c r="L407" s="4"/>
      <c r="M407" s="4"/>
      <c r="N407" s="4"/>
    </row>
    <row r="408" spans="12:14" ht="13" x14ac:dyDescent="0.15">
      <c r="L408" s="4"/>
      <c r="M408" s="4"/>
      <c r="N408" s="4"/>
    </row>
    <row r="409" spans="12:14" ht="13" x14ac:dyDescent="0.15">
      <c r="L409" s="4"/>
      <c r="M409" s="4"/>
      <c r="N409" s="4"/>
    </row>
    <row r="410" spans="12:14" ht="13" x14ac:dyDescent="0.15">
      <c r="L410" s="4"/>
      <c r="M410" s="4"/>
      <c r="N410" s="4"/>
    </row>
    <row r="411" spans="12:14" ht="13" x14ac:dyDescent="0.15">
      <c r="L411" s="4"/>
      <c r="M411" s="4"/>
      <c r="N411" s="4"/>
    </row>
    <row r="412" spans="12:14" ht="13" x14ac:dyDescent="0.15">
      <c r="L412" s="4"/>
      <c r="M412" s="4"/>
      <c r="N412" s="4"/>
    </row>
    <row r="413" spans="12:14" ht="13" x14ac:dyDescent="0.15">
      <c r="L413" s="4"/>
      <c r="M413" s="4"/>
      <c r="N413" s="4"/>
    </row>
    <row r="414" spans="12:14" ht="13" x14ac:dyDescent="0.15">
      <c r="L414" s="4"/>
      <c r="M414" s="4"/>
      <c r="N414" s="4"/>
    </row>
    <row r="415" spans="12:14" ht="13" x14ac:dyDescent="0.15">
      <c r="L415" s="4"/>
      <c r="M415" s="4"/>
      <c r="N415" s="4"/>
    </row>
    <row r="416" spans="12:14" ht="13" x14ac:dyDescent="0.15">
      <c r="L416" s="4"/>
      <c r="M416" s="4"/>
      <c r="N416" s="4"/>
    </row>
    <row r="417" spans="12:14" ht="13" x14ac:dyDescent="0.15">
      <c r="L417" s="4"/>
      <c r="M417" s="4"/>
      <c r="N417" s="4"/>
    </row>
    <row r="418" spans="12:14" ht="13" x14ac:dyDescent="0.15">
      <c r="L418" s="4"/>
      <c r="M418" s="4"/>
      <c r="N418" s="4"/>
    </row>
    <row r="419" spans="12:14" ht="13" x14ac:dyDescent="0.15">
      <c r="L419" s="4"/>
      <c r="M419" s="4"/>
      <c r="N419" s="4"/>
    </row>
    <row r="420" spans="12:14" ht="13" x14ac:dyDescent="0.15">
      <c r="L420" s="4"/>
      <c r="M420" s="4"/>
      <c r="N420" s="4"/>
    </row>
    <row r="421" spans="12:14" ht="13" x14ac:dyDescent="0.15">
      <c r="L421" s="4"/>
      <c r="M421" s="4"/>
      <c r="N421" s="4"/>
    </row>
    <row r="422" spans="12:14" ht="13" x14ac:dyDescent="0.15">
      <c r="L422" s="4"/>
      <c r="M422" s="4"/>
      <c r="N422" s="4"/>
    </row>
    <row r="423" spans="12:14" ht="13" x14ac:dyDescent="0.15">
      <c r="L423" s="4"/>
      <c r="M423" s="4"/>
      <c r="N423" s="4"/>
    </row>
    <row r="424" spans="12:14" ht="13" x14ac:dyDescent="0.15">
      <c r="L424" s="4"/>
      <c r="M424" s="4"/>
      <c r="N424" s="4"/>
    </row>
    <row r="425" spans="12:14" ht="13" x14ac:dyDescent="0.15">
      <c r="L425" s="4"/>
      <c r="M425" s="4"/>
      <c r="N425" s="4"/>
    </row>
    <row r="426" spans="12:14" ht="13" x14ac:dyDescent="0.15">
      <c r="L426" s="4"/>
      <c r="M426" s="4"/>
      <c r="N426" s="4"/>
    </row>
    <row r="427" spans="12:14" ht="13" x14ac:dyDescent="0.15">
      <c r="L427" s="4"/>
      <c r="M427" s="4"/>
      <c r="N427" s="4"/>
    </row>
    <row r="428" spans="12:14" ht="13" x14ac:dyDescent="0.15">
      <c r="L428" s="4"/>
      <c r="M428" s="4"/>
      <c r="N428" s="4"/>
    </row>
    <row r="429" spans="12:14" ht="13" x14ac:dyDescent="0.15">
      <c r="L429" s="4"/>
      <c r="M429" s="4"/>
      <c r="N429" s="4"/>
    </row>
    <row r="430" spans="12:14" ht="13" x14ac:dyDescent="0.15">
      <c r="L430" s="4"/>
      <c r="M430" s="4"/>
      <c r="N430" s="4"/>
    </row>
    <row r="431" spans="12:14" ht="13" x14ac:dyDescent="0.15">
      <c r="L431" s="4"/>
      <c r="M431" s="4"/>
      <c r="N431" s="4"/>
    </row>
    <row r="432" spans="12:14" ht="13" x14ac:dyDescent="0.15">
      <c r="L432" s="4"/>
      <c r="M432" s="4"/>
      <c r="N432" s="4"/>
    </row>
    <row r="433" spans="12:14" ht="13" x14ac:dyDescent="0.15">
      <c r="L433" s="4"/>
      <c r="M433" s="4"/>
      <c r="N433" s="4"/>
    </row>
    <row r="434" spans="12:14" ht="13" x14ac:dyDescent="0.15">
      <c r="L434" s="4"/>
      <c r="M434" s="4"/>
      <c r="N434" s="4"/>
    </row>
    <row r="435" spans="12:14" ht="13" x14ac:dyDescent="0.15">
      <c r="L435" s="4"/>
      <c r="M435" s="4"/>
      <c r="N435" s="4"/>
    </row>
    <row r="436" spans="12:14" ht="13" x14ac:dyDescent="0.15">
      <c r="L436" s="4"/>
      <c r="M436" s="4"/>
      <c r="N436" s="4"/>
    </row>
    <row r="437" spans="12:14" ht="13" x14ac:dyDescent="0.15">
      <c r="L437" s="4"/>
      <c r="M437" s="4"/>
      <c r="N437" s="4"/>
    </row>
    <row r="438" spans="12:14" ht="13" x14ac:dyDescent="0.15">
      <c r="L438" s="4"/>
      <c r="M438" s="4"/>
      <c r="N438" s="4"/>
    </row>
    <row r="439" spans="12:14" ht="13" x14ac:dyDescent="0.15">
      <c r="L439" s="4"/>
      <c r="M439" s="4"/>
      <c r="N439" s="4"/>
    </row>
    <row r="440" spans="12:14" ht="13" x14ac:dyDescent="0.15">
      <c r="L440" s="4"/>
      <c r="M440" s="4"/>
      <c r="N440" s="4"/>
    </row>
    <row r="441" spans="12:14" ht="13" x14ac:dyDescent="0.15">
      <c r="L441" s="4"/>
      <c r="M441" s="4"/>
      <c r="N441" s="4"/>
    </row>
    <row r="442" spans="12:14" ht="13" x14ac:dyDescent="0.15">
      <c r="L442" s="4"/>
      <c r="M442" s="4"/>
      <c r="N442" s="4"/>
    </row>
    <row r="443" spans="12:14" ht="13" x14ac:dyDescent="0.15">
      <c r="L443" s="4"/>
      <c r="M443" s="4"/>
      <c r="N443" s="4"/>
    </row>
    <row r="444" spans="12:14" ht="13" x14ac:dyDescent="0.15">
      <c r="L444" s="4"/>
      <c r="M444" s="4"/>
      <c r="N444" s="4"/>
    </row>
    <row r="445" spans="12:14" ht="13" x14ac:dyDescent="0.15">
      <c r="L445" s="4"/>
      <c r="M445" s="4"/>
      <c r="N445" s="4"/>
    </row>
    <row r="446" spans="12:14" ht="13" x14ac:dyDescent="0.15">
      <c r="L446" s="4"/>
      <c r="M446" s="4"/>
      <c r="N446" s="4"/>
    </row>
    <row r="447" spans="12:14" ht="13" x14ac:dyDescent="0.15">
      <c r="L447" s="4"/>
      <c r="M447" s="4"/>
      <c r="N447" s="4"/>
    </row>
    <row r="448" spans="12:14" ht="13" x14ac:dyDescent="0.15">
      <c r="L448" s="4"/>
      <c r="M448" s="4"/>
      <c r="N448" s="4"/>
    </row>
    <row r="449" spans="12:14" ht="13" x14ac:dyDescent="0.15">
      <c r="L449" s="4"/>
      <c r="M449" s="4"/>
      <c r="N449" s="4"/>
    </row>
    <row r="450" spans="12:14" ht="13" x14ac:dyDescent="0.15">
      <c r="L450" s="4"/>
      <c r="M450" s="4"/>
      <c r="N450" s="4"/>
    </row>
    <row r="451" spans="12:14" ht="13" x14ac:dyDescent="0.15">
      <c r="L451" s="4"/>
      <c r="M451" s="4"/>
      <c r="N451" s="4"/>
    </row>
    <row r="452" spans="12:14" ht="13" x14ac:dyDescent="0.15">
      <c r="L452" s="4"/>
      <c r="M452" s="4"/>
      <c r="N452" s="4"/>
    </row>
    <row r="453" spans="12:14" ht="13" x14ac:dyDescent="0.15">
      <c r="L453" s="4"/>
      <c r="M453" s="4"/>
      <c r="N453" s="4"/>
    </row>
    <row r="454" spans="12:14" ht="13" x14ac:dyDescent="0.15">
      <c r="L454" s="4"/>
      <c r="M454" s="4"/>
      <c r="N454" s="4"/>
    </row>
    <row r="455" spans="12:14" ht="13" x14ac:dyDescent="0.15">
      <c r="L455" s="4"/>
      <c r="M455" s="4"/>
      <c r="N455" s="4"/>
    </row>
    <row r="456" spans="12:14" ht="13" x14ac:dyDescent="0.15">
      <c r="L456" s="4"/>
      <c r="M456" s="4"/>
      <c r="N456" s="4"/>
    </row>
    <row r="457" spans="12:14" ht="13" x14ac:dyDescent="0.15">
      <c r="L457" s="4"/>
      <c r="M457" s="4"/>
      <c r="N457" s="4"/>
    </row>
    <row r="458" spans="12:14" ht="13" x14ac:dyDescent="0.15">
      <c r="L458" s="4"/>
      <c r="M458" s="4"/>
      <c r="N458" s="4"/>
    </row>
    <row r="459" spans="12:14" ht="13" x14ac:dyDescent="0.15">
      <c r="L459" s="4"/>
      <c r="M459" s="4"/>
      <c r="N459" s="4"/>
    </row>
    <row r="460" spans="12:14" ht="13" x14ac:dyDescent="0.15">
      <c r="L460" s="4"/>
      <c r="M460" s="4"/>
      <c r="N460" s="4"/>
    </row>
    <row r="461" spans="12:14" ht="13" x14ac:dyDescent="0.15">
      <c r="L461" s="4"/>
      <c r="M461" s="4"/>
      <c r="N461" s="4"/>
    </row>
    <row r="462" spans="12:14" ht="13" x14ac:dyDescent="0.15">
      <c r="L462" s="4"/>
      <c r="M462" s="4"/>
      <c r="N462" s="4"/>
    </row>
    <row r="463" spans="12:14" ht="13" x14ac:dyDescent="0.15">
      <c r="L463" s="4"/>
      <c r="M463" s="4"/>
      <c r="N463" s="4"/>
    </row>
    <row r="464" spans="12:14" ht="13" x14ac:dyDescent="0.15">
      <c r="L464" s="4"/>
      <c r="M464" s="4"/>
      <c r="N464" s="4"/>
    </row>
    <row r="465" spans="12:14" ht="13" x14ac:dyDescent="0.15">
      <c r="L465" s="4"/>
      <c r="M465" s="4"/>
      <c r="N465" s="4"/>
    </row>
    <row r="466" spans="12:14" ht="13" x14ac:dyDescent="0.15">
      <c r="L466" s="4"/>
      <c r="M466" s="4"/>
      <c r="N466" s="4"/>
    </row>
    <row r="467" spans="12:14" ht="13" x14ac:dyDescent="0.15">
      <c r="L467" s="4"/>
      <c r="M467" s="4"/>
      <c r="N467" s="4"/>
    </row>
    <row r="468" spans="12:14" ht="13" x14ac:dyDescent="0.15">
      <c r="L468" s="4"/>
      <c r="M468" s="4"/>
      <c r="N468" s="4"/>
    </row>
    <row r="469" spans="12:14" ht="13" x14ac:dyDescent="0.15">
      <c r="L469" s="4"/>
      <c r="M469" s="4"/>
      <c r="N469" s="4"/>
    </row>
    <row r="470" spans="12:14" ht="13" x14ac:dyDescent="0.15">
      <c r="L470" s="4"/>
      <c r="M470" s="4"/>
      <c r="N470" s="4"/>
    </row>
    <row r="471" spans="12:14" ht="13" x14ac:dyDescent="0.15">
      <c r="L471" s="4"/>
      <c r="M471" s="4"/>
      <c r="N471" s="4"/>
    </row>
    <row r="472" spans="12:14" ht="13" x14ac:dyDescent="0.15">
      <c r="L472" s="4"/>
      <c r="M472" s="4"/>
      <c r="N472" s="4"/>
    </row>
    <row r="473" spans="12:14" ht="13" x14ac:dyDescent="0.15">
      <c r="L473" s="4"/>
      <c r="M473" s="4"/>
      <c r="N473" s="4"/>
    </row>
    <row r="474" spans="12:14" ht="13" x14ac:dyDescent="0.15">
      <c r="L474" s="4"/>
      <c r="M474" s="4"/>
      <c r="N474" s="4"/>
    </row>
    <row r="475" spans="12:14" ht="13" x14ac:dyDescent="0.15">
      <c r="L475" s="4"/>
      <c r="M475" s="4"/>
      <c r="N475" s="4"/>
    </row>
    <row r="476" spans="12:14" ht="13" x14ac:dyDescent="0.15">
      <c r="L476" s="4"/>
      <c r="M476" s="4"/>
      <c r="N476" s="4"/>
    </row>
    <row r="477" spans="12:14" ht="13" x14ac:dyDescent="0.15">
      <c r="L477" s="4"/>
      <c r="M477" s="4"/>
      <c r="N477" s="4"/>
    </row>
    <row r="478" spans="12:14" ht="13" x14ac:dyDescent="0.15">
      <c r="L478" s="4"/>
      <c r="M478" s="4"/>
      <c r="N478" s="4"/>
    </row>
    <row r="479" spans="12:14" ht="13" x14ac:dyDescent="0.15">
      <c r="L479" s="4"/>
      <c r="M479" s="4"/>
      <c r="N479" s="4"/>
    </row>
    <row r="480" spans="12:14" ht="13" x14ac:dyDescent="0.15">
      <c r="L480" s="4"/>
      <c r="M480" s="4"/>
      <c r="N480" s="4"/>
    </row>
    <row r="481" spans="12:14" ht="13" x14ac:dyDescent="0.15">
      <c r="L481" s="4"/>
      <c r="M481" s="4"/>
      <c r="N481" s="4"/>
    </row>
    <row r="482" spans="12:14" ht="13" x14ac:dyDescent="0.15">
      <c r="L482" s="4"/>
      <c r="M482" s="4"/>
      <c r="N482" s="4"/>
    </row>
    <row r="483" spans="12:14" ht="13" x14ac:dyDescent="0.15">
      <c r="L483" s="4"/>
      <c r="M483" s="4"/>
      <c r="N483" s="4"/>
    </row>
    <row r="484" spans="12:14" ht="13" x14ac:dyDescent="0.15">
      <c r="L484" s="4"/>
      <c r="M484" s="4"/>
      <c r="N484" s="4"/>
    </row>
    <row r="485" spans="12:14" ht="13" x14ac:dyDescent="0.15">
      <c r="L485" s="4"/>
      <c r="M485" s="4"/>
      <c r="N485" s="4"/>
    </row>
    <row r="486" spans="12:14" ht="13" x14ac:dyDescent="0.15">
      <c r="L486" s="4"/>
      <c r="M486" s="4"/>
      <c r="N486" s="4"/>
    </row>
    <row r="487" spans="12:14" ht="13" x14ac:dyDescent="0.15">
      <c r="L487" s="4"/>
      <c r="M487" s="4"/>
      <c r="N487" s="4"/>
    </row>
    <row r="488" spans="12:14" ht="13" x14ac:dyDescent="0.15">
      <c r="L488" s="4"/>
      <c r="M488" s="4"/>
      <c r="N488" s="4"/>
    </row>
    <row r="489" spans="12:14" ht="13" x14ac:dyDescent="0.15">
      <c r="L489" s="4"/>
      <c r="M489" s="4"/>
      <c r="N489" s="4"/>
    </row>
    <row r="490" spans="12:14" ht="13" x14ac:dyDescent="0.15">
      <c r="L490" s="4"/>
      <c r="M490" s="4"/>
      <c r="N490" s="4"/>
    </row>
    <row r="491" spans="12:14" ht="13" x14ac:dyDescent="0.15">
      <c r="L491" s="4"/>
      <c r="M491" s="4"/>
      <c r="N491" s="4"/>
    </row>
    <row r="492" spans="12:14" ht="13" x14ac:dyDescent="0.15">
      <c r="L492" s="4"/>
      <c r="M492" s="4"/>
      <c r="N492" s="4"/>
    </row>
    <row r="493" spans="12:14" ht="13" x14ac:dyDescent="0.15">
      <c r="L493" s="4"/>
      <c r="M493" s="4"/>
      <c r="N493" s="4"/>
    </row>
    <row r="494" spans="12:14" ht="13" x14ac:dyDescent="0.15">
      <c r="L494" s="4"/>
      <c r="M494" s="4"/>
      <c r="N494" s="4"/>
    </row>
    <row r="495" spans="12:14" ht="13" x14ac:dyDescent="0.15">
      <c r="L495" s="4"/>
      <c r="M495" s="4"/>
      <c r="N495" s="4"/>
    </row>
    <row r="496" spans="12:14" ht="13" x14ac:dyDescent="0.15">
      <c r="L496" s="4"/>
      <c r="M496" s="4"/>
      <c r="N496" s="4"/>
    </row>
    <row r="497" spans="12:14" ht="13" x14ac:dyDescent="0.15">
      <c r="L497" s="4"/>
      <c r="M497" s="4"/>
      <c r="N497" s="4"/>
    </row>
    <row r="498" spans="12:14" ht="13" x14ac:dyDescent="0.15">
      <c r="L498" s="4"/>
      <c r="M498" s="4"/>
      <c r="N498" s="4"/>
    </row>
    <row r="499" spans="12:14" ht="13" x14ac:dyDescent="0.15">
      <c r="L499" s="4"/>
      <c r="M499" s="4"/>
      <c r="N499" s="4"/>
    </row>
    <row r="500" spans="12:14" ht="13" x14ac:dyDescent="0.15">
      <c r="L500" s="4"/>
      <c r="M500" s="4"/>
      <c r="N500" s="4"/>
    </row>
    <row r="501" spans="12:14" ht="13" x14ac:dyDescent="0.15">
      <c r="L501" s="4"/>
      <c r="M501" s="4"/>
      <c r="N501" s="4"/>
    </row>
    <row r="502" spans="12:14" ht="13" x14ac:dyDescent="0.15">
      <c r="L502" s="4"/>
      <c r="M502" s="4"/>
      <c r="N502" s="4"/>
    </row>
    <row r="503" spans="12:14" ht="13" x14ac:dyDescent="0.15">
      <c r="L503" s="4"/>
      <c r="M503" s="4"/>
      <c r="N503" s="4"/>
    </row>
    <row r="504" spans="12:14" ht="13" x14ac:dyDescent="0.15">
      <c r="L504" s="4"/>
      <c r="M504" s="4"/>
      <c r="N504" s="4"/>
    </row>
    <row r="505" spans="12:14" ht="13" x14ac:dyDescent="0.15">
      <c r="L505" s="4"/>
      <c r="M505" s="4"/>
      <c r="N505" s="4"/>
    </row>
    <row r="506" spans="12:14" ht="13" x14ac:dyDescent="0.15">
      <c r="L506" s="4"/>
      <c r="M506" s="4"/>
      <c r="N506" s="4"/>
    </row>
    <row r="507" spans="12:14" ht="13" x14ac:dyDescent="0.15">
      <c r="L507" s="4"/>
      <c r="M507" s="4"/>
      <c r="N507" s="4"/>
    </row>
    <row r="508" spans="12:14" ht="13" x14ac:dyDescent="0.15">
      <c r="L508" s="4"/>
      <c r="M508" s="4"/>
      <c r="N508" s="4"/>
    </row>
    <row r="509" spans="12:14" ht="13" x14ac:dyDescent="0.15">
      <c r="L509" s="4"/>
      <c r="M509" s="4"/>
      <c r="N509" s="4"/>
    </row>
    <row r="510" spans="12:14" ht="13" x14ac:dyDescent="0.15">
      <c r="L510" s="4"/>
      <c r="M510" s="4"/>
      <c r="N510" s="4"/>
    </row>
    <row r="511" spans="12:14" ht="13" x14ac:dyDescent="0.15">
      <c r="L511" s="4"/>
      <c r="M511" s="4"/>
      <c r="N511" s="4"/>
    </row>
    <row r="512" spans="12:14" ht="13" x14ac:dyDescent="0.15">
      <c r="L512" s="4"/>
      <c r="M512" s="4"/>
      <c r="N512" s="4"/>
    </row>
    <row r="513" spans="12:14" ht="13" x14ac:dyDescent="0.15">
      <c r="L513" s="4"/>
      <c r="M513" s="4"/>
      <c r="N513" s="4"/>
    </row>
    <row r="514" spans="12:14" ht="13" x14ac:dyDescent="0.15">
      <c r="L514" s="4"/>
      <c r="M514" s="4"/>
      <c r="N514" s="4"/>
    </row>
    <row r="515" spans="12:14" ht="13" x14ac:dyDescent="0.15">
      <c r="L515" s="4"/>
      <c r="M515" s="4"/>
      <c r="N515" s="4"/>
    </row>
    <row r="516" spans="12:14" ht="13" x14ac:dyDescent="0.15">
      <c r="L516" s="4"/>
      <c r="M516" s="4"/>
      <c r="N516" s="4"/>
    </row>
    <row r="517" spans="12:14" ht="13" x14ac:dyDescent="0.15">
      <c r="L517" s="4"/>
      <c r="M517" s="4"/>
      <c r="N517" s="4"/>
    </row>
    <row r="518" spans="12:14" ht="13" x14ac:dyDescent="0.15">
      <c r="L518" s="4"/>
      <c r="M518" s="4"/>
      <c r="N518" s="4"/>
    </row>
    <row r="519" spans="12:14" ht="13" x14ac:dyDescent="0.15">
      <c r="L519" s="4"/>
      <c r="M519" s="4"/>
      <c r="N519" s="4"/>
    </row>
    <row r="520" spans="12:14" ht="13" x14ac:dyDescent="0.15">
      <c r="L520" s="4"/>
      <c r="M520" s="4"/>
      <c r="N520" s="4"/>
    </row>
    <row r="521" spans="12:14" ht="13" x14ac:dyDescent="0.15">
      <c r="L521" s="4"/>
      <c r="M521" s="4"/>
      <c r="N521" s="4"/>
    </row>
    <row r="522" spans="12:14" ht="13" x14ac:dyDescent="0.15">
      <c r="L522" s="4"/>
      <c r="M522" s="4"/>
      <c r="N522" s="4"/>
    </row>
    <row r="523" spans="12:14" ht="13" x14ac:dyDescent="0.15">
      <c r="L523" s="4"/>
      <c r="M523" s="4"/>
      <c r="N523" s="4"/>
    </row>
    <row r="524" spans="12:14" ht="13" x14ac:dyDescent="0.15">
      <c r="L524" s="4"/>
      <c r="M524" s="4"/>
      <c r="N524" s="4"/>
    </row>
    <row r="525" spans="12:14" ht="13" x14ac:dyDescent="0.15">
      <c r="L525" s="4"/>
      <c r="M525" s="4"/>
      <c r="N525" s="4"/>
    </row>
    <row r="526" spans="12:14" ht="13" x14ac:dyDescent="0.15">
      <c r="L526" s="4"/>
      <c r="M526" s="4"/>
      <c r="N526" s="4"/>
    </row>
    <row r="527" spans="12:14" ht="13" x14ac:dyDescent="0.15">
      <c r="L527" s="4"/>
      <c r="M527" s="4"/>
      <c r="N527" s="4"/>
    </row>
    <row r="528" spans="12:14" ht="13" x14ac:dyDescent="0.15">
      <c r="L528" s="4"/>
      <c r="M528" s="4"/>
      <c r="N528" s="4"/>
    </row>
    <row r="529" spans="12:14" ht="13" x14ac:dyDescent="0.15">
      <c r="L529" s="4"/>
      <c r="M529" s="4"/>
      <c r="N529" s="4"/>
    </row>
    <row r="530" spans="12:14" ht="13" x14ac:dyDescent="0.15">
      <c r="L530" s="4"/>
      <c r="M530" s="4"/>
      <c r="N530" s="4"/>
    </row>
    <row r="531" spans="12:14" ht="13" x14ac:dyDescent="0.15">
      <c r="L531" s="4"/>
      <c r="M531" s="4"/>
      <c r="N531" s="4"/>
    </row>
    <row r="532" spans="12:14" ht="13" x14ac:dyDescent="0.15">
      <c r="L532" s="4"/>
      <c r="M532" s="4"/>
      <c r="N532" s="4"/>
    </row>
    <row r="533" spans="12:14" ht="13" x14ac:dyDescent="0.15">
      <c r="L533" s="4"/>
      <c r="M533" s="4"/>
      <c r="N533" s="4"/>
    </row>
    <row r="534" spans="12:14" ht="13" x14ac:dyDescent="0.15">
      <c r="L534" s="4"/>
      <c r="M534" s="4"/>
      <c r="N534" s="4"/>
    </row>
    <row r="535" spans="12:14" ht="13" x14ac:dyDescent="0.15">
      <c r="L535" s="4"/>
      <c r="M535" s="4"/>
      <c r="N535" s="4"/>
    </row>
    <row r="536" spans="12:14" ht="13" x14ac:dyDescent="0.15">
      <c r="L536" s="4"/>
      <c r="M536" s="4"/>
      <c r="N536" s="4"/>
    </row>
    <row r="537" spans="12:14" ht="13" x14ac:dyDescent="0.15">
      <c r="L537" s="4"/>
      <c r="M537" s="4"/>
      <c r="N537" s="4"/>
    </row>
    <row r="538" spans="12:14" ht="13" x14ac:dyDescent="0.15">
      <c r="L538" s="4"/>
      <c r="M538" s="4"/>
      <c r="N538" s="4"/>
    </row>
    <row r="539" spans="12:14" ht="13" x14ac:dyDescent="0.15">
      <c r="L539" s="4"/>
      <c r="M539" s="4"/>
      <c r="N539" s="4"/>
    </row>
    <row r="540" spans="12:14" ht="13" x14ac:dyDescent="0.15">
      <c r="L540" s="4"/>
      <c r="M540" s="4"/>
      <c r="N540" s="4"/>
    </row>
    <row r="541" spans="12:14" ht="13" x14ac:dyDescent="0.15">
      <c r="L541" s="4"/>
      <c r="M541" s="4"/>
      <c r="N541" s="4"/>
    </row>
    <row r="542" spans="12:14" ht="13" x14ac:dyDescent="0.15">
      <c r="L542" s="4"/>
      <c r="M542" s="4"/>
      <c r="N542" s="4"/>
    </row>
    <row r="543" spans="12:14" ht="13" x14ac:dyDescent="0.15">
      <c r="L543" s="4"/>
      <c r="M543" s="4"/>
      <c r="N543" s="4"/>
    </row>
    <row r="544" spans="12:14" ht="13" x14ac:dyDescent="0.15">
      <c r="L544" s="4"/>
      <c r="M544" s="4"/>
      <c r="N544" s="4"/>
    </row>
    <row r="545" spans="12:14" ht="13" x14ac:dyDescent="0.15">
      <c r="L545" s="4"/>
      <c r="M545" s="4"/>
      <c r="N545" s="4"/>
    </row>
    <row r="546" spans="12:14" ht="13" x14ac:dyDescent="0.15">
      <c r="L546" s="4"/>
      <c r="M546" s="4"/>
      <c r="N546" s="4"/>
    </row>
    <row r="547" spans="12:14" ht="13" x14ac:dyDescent="0.15">
      <c r="L547" s="4"/>
      <c r="M547" s="4"/>
      <c r="N547" s="4"/>
    </row>
    <row r="548" spans="12:14" ht="13" x14ac:dyDescent="0.15">
      <c r="L548" s="4"/>
      <c r="M548" s="4"/>
      <c r="N548" s="4"/>
    </row>
    <row r="549" spans="12:14" ht="13" x14ac:dyDescent="0.15">
      <c r="L549" s="4"/>
      <c r="M549" s="4"/>
      <c r="N549" s="4"/>
    </row>
    <row r="550" spans="12:14" ht="13" x14ac:dyDescent="0.15">
      <c r="L550" s="4"/>
      <c r="M550" s="4"/>
      <c r="N550" s="4"/>
    </row>
    <row r="551" spans="12:14" ht="13" x14ac:dyDescent="0.15">
      <c r="L551" s="4"/>
      <c r="M551" s="4"/>
      <c r="N551" s="4"/>
    </row>
    <row r="552" spans="12:14" ht="13" x14ac:dyDescent="0.15">
      <c r="L552" s="4"/>
      <c r="M552" s="4"/>
      <c r="N552" s="4"/>
    </row>
    <row r="553" spans="12:14" ht="13" x14ac:dyDescent="0.15">
      <c r="L553" s="4"/>
      <c r="M553" s="4"/>
      <c r="N553" s="4"/>
    </row>
    <row r="554" spans="12:14" ht="13" x14ac:dyDescent="0.15">
      <c r="L554" s="4"/>
      <c r="M554" s="4"/>
      <c r="N554" s="4"/>
    </row>
    <row r="555" spans="12:14" ht="13" x14ac:dyDescent="0.15">
      <c r="L555" s="4"/>
      <c r="M555" s="4"/>
      <c r="N555" s="4"/>
    </row>
    <row r="556" spans="12:14" ht="13" x14ac:dyDescent="0.15">
      <c r="L556" s="4"/>
      <c r="M556" s="4"/>
      <c r="N556" s="4"/>
    </row>
    <row r="557" spans="12:14" ht="13" x14ac:dyDescent="0.15">
      <c r="L557" s="4"/>
      <c r="M557" s="4"/>
      <c r="N557" s="4"/>
    </row>
    <row r="558" spans="12:14" ht="13" x14ac:dyDescent="0.15">
      <c r="L558" s="4"/>
      <c r="M558" s="4"/>
      <c r="N558" s="4"/>
    </row>
    <row r="559" spans="12:14" ht="13" x14ac:dyDescent="0.15">
      <c r="L559" s="4"/>
      <c r="M559" s="4"/>
      <c r="N559" s="4"/>
    </row>
    <row r="560" spans="12:14" ht="13" x14ac:dyDescent="0.15">
      <c r="L560" s="4"/>
      <c r="M560" s="4"/>
      <c r="N560" s="4"/>
    </row>
    <row r="561" spans="12:14" ht="13" x14ac:dyDescent="0.15">
      <c r="L561" s="4"/>
      <c r="M561" s="4"/>
      <c r="N561" s="4"/>
    </row>
    <row r="562" spans="12:14" ht="13" x14ac:dyDescent="0.15">
      <c r="L562" s="4"/>
      <c r="M562" s="4"/>
      <c r="N562" s="4"/>
    </row>
    <row r="563" spans="12:14" ht="13" x14ac:dyDescent="0.15">
      <c r="L563" s="4"/>
      <c r="M563" s="4"/>
      <c r="N563" s="4"/>
    </row>
    <row r="564" spans="12:14" ht="13" x14ac:dyDescent="0.15">
      <c r="L564" s="4"/>
      <c r="M564" s="4"/>
      <c r="N564" s="4"/>
    </row>
    <row r="565" spans="12:14" ht="13" x14ac:dyDescent="0.15">
      <c r="L565" s="4"/>
      <c r="M565" s="4"/>
      <c r="N565" s="4"/>
    </row>
    <row r="566" spans="12:14" ht="13" x14ac:dyDescent="0.15">
      <c r="L566" s="4"/>
      <c r="M566" s="4"/>
      <c r="N566" s="4"/>
    </row>
    <row r="567" spans="12:14" ht="13" x14ac:dyDescent="0.15">
      <c r="L567" s="4"/>
      <c r="M567" s="4"/>
      <c r="N567" s="4"/>
    </row>
    <row r="568" spans="12:14" ht="13" x14ac:dyDescent="0.15">
      <c r="L568" s="4"/>
      <c r="M568" s="4"/>
      <c r="N568" s="4"/>
    </row>
    <row r="569" spans="12:14" ht="13" x14ac:dyDescent="0.15">
      <c r="L569" s="4"/>
      <c r="M569" s="4"/>
      <c r="N569" s="4"/>
    </row>
    <row r="570" spans="12:14" ht="13" x14ac:dyDescent="0.15">
      <c r="L570" s="4"/>
      <c r="M570" s="4"/>
      <c r="N570" s="4"/>
    </row>
    <row r="571" spans="12:14" ht="13" x14ac:dyDescent="0.15">
      <c r="L571" s="4"/>
      <c r="M571" s="4"/>
      <c r="N571" s="4"/>
    </row>
    <row r="572" spans="12:14" ht="13" x14ac:dyDescent="0.15">
      <c r="L572" s="4"/>
      <c r="M572" s="4"/>
      <c r="N572" s="4"/>
    </row>
    <row r="573" spans="12:14" ht="13" x14ac:dyDescent="0.15">
      <c r="L573" s="4"/>
      <c r="M573" s="4"/>
      <c r="N573" s="4"/>
    </row>
    <row r="574" spans="12:14" ht="13" x14ac:dyDescent="0.15">
      <c r="L574" s="4"/>
      <c r="M574" s="4"/>
      <c r="N574" s="4"/>
    </row>
    <row r="575" spans="12:14" ht="13" x14ac:dyDescent="0.15">
      <c r="L575" s="4"/>
      <c r="M575" s="4"/>
      <c r="N575" s="4"/>
    </row>
    <row r="576" spans="12:14" ht="13" x14ac:dyDescent="0.15">
      <c r="L576" s="4"/>
      <c r="M576" s="4"/>
      <c r="N576" s="4"/>
    </row>
    <row r="577" spans="12:14" ht="13" x14ac:dyDescent="0.15">
      <c r="L577" s="4"/>
      <c r="M577" s="4"/>
      <c r="N577" s="4"/>
    </row>
    <row r="578" spans="12:14" ht="13" x14ac:dyDescent="0.15">
      <c r="L578" s="4"/>
      <c r="M578" s="4"/>
      <c r="N578" s="4"/>
    </row>
    <row r="579" spans="12:14" ht="13" x14ac:dyDescent="0.15">
      <c r="L579" s="4"/>
      <c r="M579" s="4"/>
      <c r="N579" s="4"/>
    </row>
    <row r="580" spans="12:14" ht="13" x14ac:dyDescent="0.15">
      <c r="L580" s="4"/>
      <c r="M580" s="4"/>
      <c r="N580" s="4"/>
    </row>
    <row r="581" spans="12:14" ht="13" x14ac:dyDescent="0.15">
      <c r="L581" s="4"/>
      <c r="M581" s="4"/>
      <c r="N581" s="4"/>
    </row>
    <row r="582" spans="12:14" ht="13" x14ac:dyDescent="0.15">
      <c r="L582" s="4"/>
      <c r="M582" s="4"/>
      <c r="N582" s="4"/>
    </row>
    <row r="583" spans="12:14" ht="13" x14ac:dyDescent="0.15">
      <c r="L583" s="4"/>
      <c r="M583" s="4"/>
      <c r="N583" s="4"/>
    </row>
    <row r="584" spans="12:14" ht="13" x14ac:dyDescent="0.15">
      <c r="L584" s="4"/>
      <c r="M584" s="4"/>
      <c r="N584" s="4"/>
    </row>
    <row r="585" spans="12:14" ht="13" x14ac:dyDescent="0.15">
      <c r="L585" s="4"/>
      <c r="M585" s="4"/>
      <c r="N585" s="4"/>
    </row>
    <row r="586" spans="12:14" ht="13" x14ac:dyDescent="0.15">
      <c r="L586" s="4"/>
      <c r="M586" s="4"/>
      <c r="N586" s="4"/>
    </row>
    <row r="587" spans="12:14" ht="13" x14ac:dyDescent="0.15">
      <c r="L587" s="4"/>
      <c r="M587" s="4"/>
      <c r="N587" s="4"/>
    </row>
    <row r="588" spans="12:14" ht="13" x14ac:dyDescent="0.15">
      <c r="L588" s="4"/>
      <c r="M588" s="4"/>
      <c r="N588" s="4"/>
    </row>
    <row r="589" spans="12:14" ht="13" x14ac:dyDescent="0.15">
      <c r="L589" s="4"/>
      <c r="M589" s="4"/>
      <c r="N589" s="4"/>
    </row>
    <row r="590" spans="12:14" ht="13" x14ac:dyDescent="0.15">
      <c r="L590" s="4"/>
      <c r="M590" s="4"/>
      <c r="N590" s="4"/>
    </row>
    <row r="591" spans="12:14" ht="13" x14ac:dyDescent="0.15">
      <c r="L591" s="4"/>
      <c r="M591" s="4"/>
      <c r="N591" s="4"/>
    </row>
    <row r="592" spans="12:14" ht="13" x14ac:dyDescent="0.15">
      <c r="L592" s="4"/>
      <c r="M592" s="4"/>
      <c r="N592" s="4"/>
    </row>
    <row r="593" spans="12:14" ht="13" x14ac:dyDescent="0.15">
      <c r="L593" s="4"/>
      <c r="M593" s="4"/>
      <c r="N593" s="4"/>
    </row>
    <row r="594" spans="12:14" ht="13" x14ac:dyDescent="0.15">
      <c r="L594" s="4"/>
      <c r="M594" s="4"/>
      <c r="N594" s="4"/>
    </row>
    <row r="595" spans="12:14" ht="13" x14ac:dyDescent="0.15">
      <c r="L595" s="4"/>
      <c r="M595" s="4"/>
      <c r="N595" s="4"/>
    </row>
    <row r="596" spans="12:14" ht="13" x14ac:dyDescent="0.15">
      <c r="L596" s="4"/>
      <c r="M596" s="4"/>
      <c r="N596" s="4"/>
    </row>
    <row r="597" spans="12:14" ht="13" x14ac:dyDescent="0.15">
      <c r="L597" s="4"/>
      <c r="M597" s="4"/>
      <c r="N597" s="4"/>
    </row>
    <row r="598" spans="12:14" ht="13" x14ac:dyDescent="0.15">
      <c r="L598" s="4"/>
      <c r="M598" s="4"/>
      <c r="N598" s="4"/>
    </row>
    <row r="599" spans="12:14" ht="13" x14ac:dyDescent="0.15">
      <c r="L599" s="4"/>
      <c r="M599" s="4"/>
      <c r="N599" s="4"/>
    </row>
    <row r="600" spans="12:14" ht="13" x14ac:dyDescent="0.15">
      <c r="L600" s="4"/>
      <c r="M600" s="4"/>
      <c r="N600" s="4"/>
    </row>
    <row r="601" spans="12:14" ht="13" x14ac:dyDescent="0.15">
      <c r="L601" s="4"/>
      <c r="M601" s="4"/>
      <c r="N601" s="4"/>
    </row>
    <row r="602" spans="12:14" ht="13" x14ac:dyDescent="0.15">
      <c r="L602" s="4"/>
      <c r="M602" s="4"/>
      <c r="N602" s="4"/>
    </row>
    <row r="603" spans="12:14" ht="13" x14ac:dyDescent="0.15">
      <c r="L603" s="4"/>
      <c r="M603" s="4"/>
      <c r="N603" s="4"/>
    </row>
    <row r="604" spans="12:14" ht="13" x14ac:dyDescent="0.15">
      <c r="L604" s="4"/>
      <c r="M604" s="4"/>
      <c r="N604" s="4"/>
    </row>
    <row r="605" spans="12:14" ht="13" x14ac:dyDescent="0.15">
      <c r="L605" s="4"/>
      <c r="M605" s="4"/>
      <c r="N605" s="4"/>
    </row>
    <row r="606" spans="12:14" ht="13" x14ac:dyDescent="0.15">
      <c r="L606" s="4"/>
      <c r="M606" s="4"/>
      <c r="N606" s="4"/>
    </row>
    <row r="607" spans="12:14" ht="13" x14ac:dyDescent="0.15">
      <c r="L607" s="4"/>
      <c r="M607" s="4"/>
      <c r="N607" s="4"/>
    </row>
    <row r="608" spans="12:14" ht="13" x14ac:dyDescent="0.15">
      <c r="L608" s="4"/>
      <c r="M608" s="4"/>
      <c r="N608" s="4"/>
    </row>
    <row r="609" spans="12:14" ht="13" x14ac:dyDescent="0.15">
      <c r="L609" s="4"/>
      <c r="M609" s="4"/>
      <c r="N609" s="4"/>
    </row>
    <row r="610" spans="12:14" ht="13" x14ac:dyDescent="0.15">
      <c r="L610" s="4"/>
      <c r="M610" s="4"/>
      <c r="N610" s="4"/>
    </row>
    <row r="611" spans="12:14" ht="13" x14ac:dyDescent="0.15">
      <c r="L611" s="4"/>
      <c r="M611" s="4"/>
      <c r="N611" s="4"/>
    </row>
    <row r="612" spans="12:14" ht="13" x14ac:dyDescent="0.15">
      <c r="L612" s="4"/>
      <c r="M612" s="4"/>
      <c r="N612" s="4"/>
    </row>
    <row r="613" spans="12:14" ht="13" x14ac:dyDescent="0.15">
      <c r="L613" s="4"/>
      <c r="M613" s="4"/>
      <c r="N613" s="4"/>
    </row>
    <row r="614" spans="12:14" ht="13" x14ac:dyDescent="0.15">
      <c r="L614" s="4"/>
      <c r="M614" s="4"/>
      <c r="N614" s="4"/>
    </row>
    <row r="615" spans="12:14" ht="13" x14ac:dyDescent="0.15">
      <c r="L615" s="4"/>
      <c r="M615" s="4"/>
      <c r="N615" s="4"/>
    </row>
    <row r="616" spans="12:14" ht="13" x14ac:dyDescent="0.15">
      <c r="L616" s="4"/>
      <c r="M616" s="4"/>
      <c r="N616" s="4"/>
    </row>
    <row r="617" spans="12:14" ht="13" x14ac:dyDescent="0.15">
      <c r="L617" s="4"/>
      <c r="M617" s="4"/>
      <c r="N617" s="4"/>
    </row>
    <row r="618" spans="12:14" ht="13" x14ac:dyDescent="0.15">
      <c r="L618" s="4"/>
      <c r="M618" s="4"/>
      <c r="N618" s="4"/>
    </row>
    <row r="619" spans="12:14" ht="13" x14ac:dyDescent="0.15">
      <c r="L619" s="4"/>
      <c r="M619" s="4"/>
      <c r="N619" s="4"/>
    </row>
    <row r="620" spans="12:14" ht="13" x14ac:dyDescent="0.15">
      <c r="L620" s="4"/>
      <c r="M620" s="4"/>
      <c r="N620" s="4"/>
    </row>
    <row r="621" spans="12:14" ht="13" x14ac:dyDescent="0.15">
      <c r="L621" s="4"/>
      <c r="M621" s="4"/>
      <c r="N621" s="4"/>
    </row>
    <row r="622" spans="12:14" ht="13" x14ac:dyDescent="0.15">
      <c r="L622" s="4"/>
      <c r="M622" s="4"/>
      <c r="N622" s="4"/>
    </row>
    <row r="623" spans="12:14" ht="13" x14ac:dyDescent="0.15">
      <c r="L623" s="4"/>
      <c r="M623" s="4"/>
      <c r="N623" s="4"/>
    </row>
    <row r="624" spans="12:14" ht="13" x14ac:dyDescent="0.15">
      <c r="L624" s="4"/>
      <c r="M624" s="4"/>
      <c r="N624" s="4"/>
    </row>
    <row r="625" spans="12:14" ht="13" x14ac:dyDescent="0.15">
      <c r="L625" s="4"/>
      <c r="M625" s="4"/>
      <c r="N625" s="4"/>
    </row>
    <row r="626" spans="12:14" ht="13" x14ac:dyDescent="0.15">
      <c r="L626" s="4"/>
      <c r="M626" s="4"/>
      <c r="N626" s="4"/>
    </row>
    <row r="627" spans="12:14" ht="13" x14ac:dyDescent="0.15">
      <c r="L627" s="4"/>
      <c r="M627" s="4"/>
      <c r="N627" s="4"/>
    </row>
    <row r="628" spans="12:14" ht="13" x14ac:dyDescent="0.15">
      <c r="L628" s="4"/>
      <c r="M628" s="4"/>
      <c r="N628" s="4"/>
    </row>
    <row r="629" spans="12:14" ht="13" x14ac:dyDescent="0.15">
      <c r="L629" s="4"/>
      <c r="M629" s="4"/>
      <c r="N629" s="4"/>
    </row>
    <row r="630" spans="12:14" ht="13" x14ac:dyDescent="0.15">
      <c r="L630" s="4"/>
      <c r="M630" s="4"/>
      <c r="N630" s="4"/>
    </row>
    <row r="631" spans="12:14" ht="13" x14ac:dyDescent="0.15">
      <c r="L631" s="4"/>
      <c r="M631" s="4"/>
      <c r="N631" s="4"/>
    </row>
    <row r="632" spans="12:14" ht="13" x14ac:dyDescent="0.15">
      <c r="L632" s="4"/>
      <c r="M632" s="4"/>
      <c r="N632" s="4"/>
    </row>
    <row r="633" spans="12:14" ht="13" x14ac:dyDescent="0.15">
      <c r="L633" s="4"/>
      <c r="M633" s="4"/>
      <c r="N633" s="4"/>
    </row>
    <row r="634" spans="12:14" ht="13" x14ac:dyDescent="0.15">
      <c r="L634" s="4"/>
      <c r="M634" s="4"/>
      <c r="N634" s="4"/>
    </row>
    <row r="635" spans="12:14" ht="13" x14ac:dyDescent="0.15">
      <c r="L635" s="4"/>
      <c r="M635" s="4"/>
      <c r="N635" s="4"/>
    </row>
    <row r="636" spans="12:14" ht="13" x14ac:dyDescent="0.15">
      <c r="L636" s="4"/>
      <c r="M636" s="4"/>
      <c r="N636" s="4"/>
    </row>
    <row r="637" spans="12:14" ht="13" x14ac:dyDescent="0.15">
      <c r="L637" s="4"/>
      <c r="M637" s="4"/>
      <c r="N637" s="4"/>
    </row>
    <row r="638" spans="12:14" ht="13" x14ac:dyDescent="0.15">
      <c r="L638" s="4"/>
      <c r="M638" s="4"/>
      <c r="N638" s="4"/>
    </row>
    <row r="639" spans="12:14" ht="13" x14ac:dyDescent="0.15">
      <c r="L639" s="4"/>
      <c r="M639" s="4"/>
      <c r="N639" s="4"/>
    </row>
    <row r="640" spans="12:14" ht="13" x14ac:dyDescent="0.15">
      <c r="L640" s="4"/>
      <c r="M640" s="4"/>
      <c r="N640" s="4"/>
    </row>
    <row r="641" spans="12:14" ht="13" x14ac:dyDescent="0.15">
      <c r="L641" s="4"/>
      <c r="M641" s="4"/>
      <c r="N641" s="4"/>
    </row>
    <row r="642" spans="12:14" ht="13" x14ac:dyDescent="0.15">
      <c r="L642" s="4"/>
      <c r="M642" s="4"/>
      <c r="N642" s="4"/>
    </row>
    <row r="643" spans="12:14" ht="13" x14ac:dyDescent="0.15">
      <c r="L643" s="4"/>
      <c r="M643" s="4"/>
      <c r="N643" s="4"/>
    </row>
    <row r="644" spans="12:14" ht="13" x14ac:dyDescent="0.15">
      <c r="L644" s="4"/>
      <c r="M644" s="4"/>
      <c r="N644" s="4"/>
    </row>
    <row r="645" spans="12:14" ht="13" x14ac:dyDescent="0.15">
      <c r="L645" s="4"/>
      <c r="M645" s="4"/>
      <c r="N645" s="4"/>
    </row>
    <row r="646" spans="12:14" ht="13" x14ac:dyDescent="0.15">
      <c r="L646" s="4"/>
      <c r="M646" s="4"/>
      <c r="N646" s="4"/>
    </row>
    <row r="647" spans="12:14" ht="13" x14ac:dyDescent="0.15">
      <c r="L647" s="4"/>
      <c r="M647" s="4"/>
      <c r="N647" s="4"/>
    </row>
    <row r="648" spans="12:14" ht="13" x14ac:dyDescent="0.15">
      <c r="L648" s="4"/>
      <c r="M648" s="4"/>
      <c r="N648" s="4"/>
    </row>
    <row r="649" spans="12:14" ht="13" x14ac:dyDescent="0.15">
      <c r="L649" s="4"/>
      <c r="M649" s="4"/>
      <c r="N649" s="4"/>
    </row>
    <row r="650" spans="12:14" ht="13" x14ac:dyDescent="0.15">
      <c r="L650" s="4"/>
      <c r="M650" s="4"/>
      <c r="N650" s="4"/>
    </row>
    <row r="651" spans="12:14" ht="13" x14ac:dyDescent="0.15">
      <c r="L651" s="4"/>
      <c r="M651" s="4"/>
      <c r="N651" s="4"/>
    </row>
    <row r="652" spans="12:14" ht="13" x14ac:dyDescent="0.15">
      <c r="L652" s="4"/>
      <c r="M652" s="4"/>
      <c r="N652" s="4"/>
    </row>
    <row r="653" spans="12:14" ht="13" x14ac:dyDescent="0.15">
      <c r="L653" s="4"/>
      <c r="M653" s="4"/>
      <c r="N653" s="4"/>
    </row>
    <row r="654" spans="12:14" ht="13" x14ac:dyDescent="0.15">
      <c r="L654" s="4"/>
      <c r="M654" s="4"/>
      <c r="N654" s="4"/>
    </row>
    <row r="655" spans="12:14" ht="13" x14ac:dyDescent="0.15">
      <c r="L655" s="4"/>
      <c r="M655" s="4"/>
      <c r="N655" s="4"/>
    </row>
    <row r="656" spans="12:14" ht="13" x14ac:dyDescent="0.15">
      <c r="L656" s="4"/>
      <c r="M656" s="4"/>
      <c r="N656" s="4"/>
    </row>
    <row r="657" spans="12:14" ht="13" x14ac:dyDescent="0.15">
      <c r="L657" s="4"/>
      <c r="M657" s="4"/>
      <c r="N657" s="4"/>
    </row>
    <row r="658" spans="12:14" ht="13" x14ac:dyDescent="0.15">
      <c r="L658" s="4"/>
      <c r="M658" s="4"/>
      <c r="N658" s="4"/>
    </row>
    <row r="659" spans="12:14" ht="13" x14ac:dyDescent="0.15">
      <c r="L659" s="4"/>
      <c r="M659" s="4"/>
      <c r="N659" s="4"/>
    </row>
    <row r="660" spans="12:14" ht="13" x14ac:dyDescent="0.15">
      <c r="L660" s="4"/>
      <c r="M660" s="4"/>
      <c r="N660" s="4"/>
    </row>
    <row r="661" spans="12:14" ht="13" x14ac:dyDescent="0.15">
      <c r="L661" s="4"/>
      <c r="M661" s="4"/>
      <c r="N661" s="4"/>
    </row>
    <row r="662" spans="12:14" ht="13" x14ac:dyDescent="0.15">
      <c r="L662" s="4"/>
      <c r="M662" s="4"/>
      <c r="N662" s="4"/>
    </row>
    <row r="663" spans="12:14" ht="13" x14ac:dyDescent="0.15">
      <c r="L663" s="4"/>
      <c r="M663" s="4"/>
      <c r="N663" s="4"/>
    </row>
    <row r="664" spans="12:14" ht="13" x14ac:dyDescent="0.15">
      <c r="L664" s="4"/>
      <c r="M664" s="4"/>
      <c r="N664" s="4"/>
    </row>
    <row r="665" spans="12:14" ht="13" x14ac:dyDescent="0.15">
      <c r="L665" s="4"/>
      <c r="M665" s="4"/>
      <c r="N665" s="4"/>
    </row>
    <row r="666" spans="12:14" ht="13" x14ac:dyDescent="0.15">
      <c r="L666" s="4"/>
      <c r="M666" s="4"/>
      <c r="N666" s="4"/>
    </row>
    <row r="667" spans="12:14" ht="13" x14ac:dyDescent="0.15">
      <c r="L667" s="4"/>
      <c r="M667" s="4"/>
      <c r="N667" s="4"/>
    </row>
    <row r="668" spans="12:14" ht="13" x14ac:dyDescent="0.15">
      <c r="L668" s="4"/>
      <c r="M668" s="4"/>
      <c r="N668" s="4"/>
    </row>
    <row r="669" spans="12:14" ht="13" x14ac:dyDescent="0.15">
      <c r="L669" s="4"/>
      <c r="M669" s="4"/>
      <c r="N669" s="4"/>
    </row>
    <row r="670" spans="12:14" ht="13" x14ac:dyDescent="0.15">
      <c r="L670" s="4"/>
      <c r="M670" s="4"/>
      <c r="N670" s="4"/>
    </row>
    <row r="671" spans="12:14" ht="13" x14ac:dyDescent="0.15">
      <c r="L671" s="4"/>
      <c r="M671" s="4"/>
      <c r="N671" s="4"/>
    </row>
    <row r="672" spans="12:14" ht="13" x14ac:dyDescent="0.15">
      <c r="L672" s="4"/>
      <c r="M672" s="4"/>
      <c r="N672" s="4"/>
    </row>
    <row r="673" spans="12:14" ht="13" x14ac:dyDescent="0.15">
      <c r="L673" s="4"/>
      <c r="M673" s="4"/>
      <c r="N673" s="4"/>
    </row>
    <row r="674" spans="12:14" ht="13" x14ac:dyDescent="0.15">
      <c r="L674" s="4"/>
      <c r="M674" s="4"/>
      <c r="N674" s="4"/>
    </row>
    <row r="675" spans="12:14" ht="13" x14ac:dyDescent="0.15">
      <c r="L675" s="4"/>
      <c r="M675" s="4"/>
      <c r="N675" s="4"/>
    </row>
    <row r="676" spans="12:14" ht="13" x14ac:dyDescent="0.15">
      <c r="L676" s="4"/>
      <c r="M676" s="4"/>
      <c r="N676" s="4"/>
    </row>
    <row r="677" spans="12:14" ht="13" x14ac:dyDescent="0.15">
      <c r="L677" s="4"/>
      <c r="M677" s="4"/>
      <c r="N677" s="4"/>
    </row>
    <row r="678" spans="12:14" ht="13" x14ac:dyDescent="0.15">
      <c r="L678" s="4"/>
      <c r="M678" s="4"/>
      <c r="N678" s="4"/>
    </row>
    <row r="679" spans="12:14" ht="13" x14ac:dyDescent="0.15">
      <c r="L679" s="4"/>
      <c r="M679" s="4"/>
      <c r="N679" s="4"/>
    </row>
    <row r="680" spans="12:14" ht="13" x14ac:dyDescent="0.15">
      <c r="L680" s="4"/>
      <c r="M680" s="4"/>
      <c r="N680" s="4"/>
    </row>
    <row r="681" spans="12:14" ht="13" x14ac:dyDescent="0.15">
      <c r="L681" s="4"/>
      <c r="M681" s="4"/>
      <c r="N681" s="4"/>
    </row>
    <row r="682" spans="12:14" ht="13" x14ac:dyDescent="0.15">
      <c r="L682" s="4"/>
      <c r="M682" s="4"/>
      <c r="N682" s="4"/>
    </row>
    <row r="683" spans="12:14" ht="13" x14ac:dyDescent="0.15">
      <c r="L683" s="4"/>
      <c r="M683" s="4"/>
      <c r="N683" s="4"/>
    </row>
    <row r="684" spans="12:14" ht="13" x14ac:dyDescent="0.15">
      <c r="L684" s="4"/>
      <c r="M684" s="4"/>
      <c r="N684" s="4"/>
    </row>
    <row r="685" spans="12:14" ht="13" x14ac:dyDescent="0.15">
      <c r="L685" s="4"/>
      <c r="M685" s="4"/>
      <c r="N685" s="4"/>
    </row>
    <row r="686" spans="12:14" ht="13" x14ac:dyDescent="0.15">
      <c r="L686" s="4"/>
      <c r="M686" s="4"/>
      <c r="N686" s="4"/>
    </row>
    <row r="687" spans="12:14" ht="13" x14ac:dyDescent="0.15">
      <c r="L687" s="4"/>
      <c r="M687" s="4"/>
      <c r="N687" s="4"/>
    </row>
    <row r="688" spans="12:14" ht="13" x14ac:dyDescent="0.15">
      <c r="L688" s="4"/>
      <c r="M688" s="4"/>
      <c r="N688" s="4"/>
    </row>
    <row r="689" spans="12:14" ht="13" x14ac:dyDescent="0.15">
      <c r="L689" s="4"/>
      <c r="M689" s="4"/>
      <c r="N689" s="4"/>
    </row>
    <row r="690" spans="12:14" ht="13" x14ac:dyDescent="0.15">
      <c r="L690" s="4"/>
      <c r="M690" s="4"/>
      <c r="N690" s="4"/>
    </row>
    <row r="691" spans="12:14" ht="13" x14ac:dyDescent="0.15">
      <c r="L691" s="4"/>
      <c r="M691" s="4"/>
      <c r="N691" s="4"/>
    </row>
    <row r="692" spans="12:14" ht="13" x14ac:dyDescent="0.15">
      <c r="L692" s="4"/>
      <c r="M692" s="4"/>
      <c r="N692" s="4"/>
    </row>
    <row r="693" spans="12:14" ht="13" x14ac:dyDescent="0.15">
      <c r="L693" s="4"/>
      <c r="M693" s="4"/>
      <c r="N693" s="4"/>
    </row>
    <row r="694" spans="12:14" ht="13" x14ac:dyDescent="0.15">
      <c r="L694" s="4"/>
      <c r="M694" s="4"/>
      <c r="N694" s="4"/>
    </row>
    <row r="695" spans="12:14" ht="13" x14ac:dyDescent="0.15">
      <c r="L695" s="4"/>
      <c r="M695" s="4"/>
      <c r="N695" s="4"/>
    </row>
    <row r="696" spans="12:14" ht="13" x14ac:dyDescent="0.15">
      <c r="L696" s="4"/>
      <c r="M696" s="4"/>
      <c r="N696" s="4"/>
    </row>
    <row r="697" spans="12:14" ht="13" x14ac:dyDescent="0.15">
      <c r="L697" s="4"/>
      <c r="M697" s="4"/>
      <c r="N697" s="4"/>
    </row>
    <row r="698" spans="12:14" ht="13" x14ac:dyDescent="0.15">
      <c r="L698" s="4"/>
      <c r="M698" s="4"/>
      <c r="N698" s="4"/>
    </row>
    <row r="699" spans="12:14" ht="13" x14ac:dyDescent="0.15">
      <c r="L699" s="4"/>
      <c r="M699" s="4"/>
      <c r="N699" s="4"/>
    </row>
    <row r="700" spans="12:14" ht="13" x14ac:dyDescent="0.15">
      <c r="L700" s="4"/>
      <c r="M700" s="4"/>
      <c r="N700" s="4"/>
    </row>
    <row r="701" spans="12:14" ht="13" x14ac:dyDescent="0.15">
      <c r="L701" s="4"/>
      <c r="M701" s="4"/>
      <c r="N701" s="4"/>
    </row>
    <row r="702" spans="12:14" ht="13" x14ac:dyDescent="0.15">
      <c r="L702" s="4"/>
      <c r="M702" s="4"/>
      <c r="N702" s="4"/>
    </row>
    <row r="703" spans="12:14" ht="13" x14ac:dyDescent="0.15">
      <c r="L703" s="4"/>
      <c r="M703" s="4"/>
      <c r="N703" s="4"/>
    </row>
    <row r="704" spans="12:14" ht="13" x14ac:dyDescent="0.15">
      <c r="L704" s="4"/>
      <c r="M704" s="4"/>
      <c r="N704" s="4"/>
    </row>
    <row r="705" spans="12:14" ht="13" x14ac:dyDescent="0.15">
      <c r="L705" s="4"/>
      <c r="M705" s="4"/>
      <c r="N705" s="4"/>
    </row>
    <row r="706" spans="12:14" ht="13" x14ac:dyDescent="0.15">
      <c r="L706" s="4"/>
      <c r="M706" s="4"/>
      <c r="N706" s="4"/>
    </row>
    <row r="707" spans="12:14" ht="13" x14ac:dyDescent="0.15">
      <c r="L707" s="4"/>
      <c r="M707" s="4"/>
      <c r="N707" s="4"/>
    </row>
    <row r="708" spans="12:14" ht="13" x14ac:dyDescent="0.15">
      <c r="L708" s="4"/>
      <c r="M708" s="4"/>
      <c r="N708" s="4"/>
    </row>
    <row r="709" spans="12:14" ht="13" x14ac:dyDescent="0.15">
      <c r="L709" s="4"/>
      <c r="M709" s="4"/>
      <c r="N709" s="4"/>
    </row>
    <row r="710" spans="12:14" ht="13" x14ac:dyDescent="0.15">
      <c r="L710" s="4"/>
      <c r="M710" s="4"/>
      <c r="N710" s="4"/>
    </row>
    <row r="711" spans="12:14" ht="13" x14ac:dyDescent="0.15">
      <c r="L711" s="4"/>
      <c r="M711" s="4"/>
      <c r="N711" s="4"/>
    </row>
    <row r="712" spans="12:14" ht="13" x14ac:dyDescent="0.15">
      <c r="L712" s="4"/>
      <c r="M712" s="4"/>
      <c r="N712" s="4"/>
    </row>
    <row r="713" spans="12:14" ht="13" x14ac:dyDescent="0.15">
      <c r="L713" s="4"/>
      <c r="M713" s="4"/>
      <c r="N713" s="4"/>
    </row>
    <row r="714" spans="12:14" ht="13" x14ac:dyDescent="0.15">
      <c r="L714" s="4"/>
      <c r="M714" s="4"/>
      <c r="N714" s="4"/>
    </row>
    <row r="715" spans="12:14" ht="13" x14ac:dyDescent="0.15">
      <c r="L715" s="4"/>
      <c r="M715" s="4"/>
      <c r="N715" s="4"/>
    </row>
    <row r="716" spans="12:14" ht="13" x14ac:dyDescent="0.15">
      <c r="L716" s="4"/>
      <c r="M716" s="4"/>
      <c r="N716" s="4"/>
    </row>
    <row r="717" spans="12:14" ht="13" x14ac:dyDescent="0.15">
      <c r="L717" s="4"/>
      <c r="M717" s="4"/>
      <c r="N717" s="4"/>
    </row>
    <row r="718" spans="12:14" ht="13" x14ac:dyDescent="0.15">
      <c r="L718" s="4"/>
      <c r="M718" s="4"/>
      <c r="N718" s="4"/>
    </row>
    <row r="719" spans="12:14" ht="13" x14ac:dyDescent="0.15">
      <c r="L719" s="4"/>
      <c r="M719" s="4"/>
      <c r="N719" s="4"/>
    </row>
    <row r="720" spans="12:14" ht="13" x14ac:dyDescent="0.15">
      <c r="L720" s="4"/>
      <c r="M720" s="4"/>
      <c r="N720" s="4"/>
    </row>
    <row r="721" spans="12:14" ht="13" x14ac:dyDescent="0.15">
      <c r="L721" s="4"/>
      <c r="M721" s="4"/>
      <c r="N721" s="4"/>
    </row>
    <row r="722" spans="12:14" ht="13" x14ac:dyDescent="0.15">
      <c r="L722" s="4"/>
      <c r="M722" s="4"/>
      <c r="N722" s="4"/>
    </row>
    <row r="723" spans="12:14" ht="13" x14ac:dyDescent="0.15">
      <c r="L723" s="4"/>
      <c r="M723" s="4"/>
      <c r="N723" s="4"/>
    </row>
    <row r="724" spans="12:14" ht="13" x14ac:dyDescent="0.15">
      <c r="L724" s="4"/>
      <c r="M724" s="4"/>
      <c r="N724" s="4"/>
    </row>
    <row r="725" spans="12:14" ht="13" x14ac:dyDescent="0.15">
      <c r="L725" s="4"/>
      <c r="M725" s="4"/>
      <c r="N725" s="4"/>
    </row>
    <row r="726" spans="12:14" ht="13" x14ac:dyDescent="0.15">
      <c r="L726" s="4"/>
      <c r="M726" s="4"/>
      <c r="N726" s="4"/>
    </row>
    <row r="727" spans="12:14" ht="13" x14ac:dyDescent="0.15">
      <c r="L727" s="4"/>
      <c r="M727" s="4"/>
      <c r="N727" s="4"/>
    </row>
    <row r="728" spans="12:14" ht="13" x14ac:dyDescent="0.15">
      <c r="L728" s="4"/>
      <c r="M728" s="4"/>
      <c r="N728" s="4"/>
    </row>
    <row r="729" spans="12:14" ht="13" x14ac:dyDescent="0.15">
      <c r="L729" s="4"/>
      <c r="M729" s="4"/>
      <c r="N729" s="4"/>
    </row>
    <row r="730" spans="12:14" ht="13" x14ac:dyDescent="0.15">
      <c r="L730" s="4"/>
      <c r="M730" s="4"/>
      <c r="N730" s="4"/>
    </row>
    <row r="731" spans="12:14" ht="13" x14ac:dyDescent="0.15">
      <c r="L731" s="4"/>
      <c r="M731" s="4"/>
      <c r="N731" s="4"/>
    </row>
    <row r="732" spans="12:14" ht="13" x14ac:dyDescent="0.15">
      <c r="L732" s="4"/>
      <c r="M732" s="4"/>
      <c r="N732" s="4"/>
    </row>
    <row r="733" spans="12:14" ht="13" x14ac:dyDescent="0.15">
      <c r="L733" s="4"/>
      <c r="M733" s="4"/>
      <c r="N733" s="4"/>
    </row>
    <row r="734" spans="12:14" ht="13" x14ac:dyDescent="0.15">
      <c r="L734" s="4"/>
      <c r="M734" s="4"/>
      <c r="N734" s="4"/>
    </row>
    <row r="735" spans="12:14" ht="13" x14ac:dyDescent="0.15">
      <c r="L735" s="4"/>
      <c r="M735" s="4"/>
      <c r="N735" s="4"/>
    </row>
    <row r="736" spans="12:14" ht="13" x14ac:dyDescent="0.15">
      <c r="L736" s="4"/>
      <c r="M736" s="4"/>
      <c r="N736" s="4"/>
    </row>
    <row r="737" spans="12:14" ht="13" x14ac:dyDescent="0.15">
      <c r="L737" s="4"/>
      <c r="M737" s="4"/>
      <c r="N737" s="4"/>
    </row>
    <row r="738" spans="12:14" ht="13" x14ac:dyDescent="0.15">
      <c r="L738" s="4"/>
      <c r="M738" s="4"/>
      <c r="N738" s="4"/>
    </row>
    <row r="739" spans="12:14" ht="13" x14ac:dyDescent="0.15">
      <c r="L739" s="4"/>
      <c r="M739" s="4"/>
      <c r="N739" s="4"/>
    </row>
    <row r="740" spans="12:14" ht="13" x14ac:dyDescent="0.15">
      <c r="L740" s="4"/>
      <c r="M740" s="4"/>
      <c r="N740" s="4"/>
    </row>
    <row r="741" spans="12:14" ht="13" x14ac:dyDescent="0.15">
      <c r="L741" s="4"/>
      <c r="M741" s="4"/>
      <c r="N741" s="4"/>
    </row>
    <row r="742" spans="12:14" ht="13" x14ac:dyDescent="0.15">
      <c r="L742" s="4"/>
      <c r="M742" s="4"/>
      <c r="N742" s="4"/>
    </row>
    <row r="743" spans="12:14" ht="13" x14ac:dyDescent="0.15">
      <c r="L743" s="4"/>
      <c r="M743" s="4"/>
      <c r="N743" s="4"/>
    </row>
    <row r="744" spans="12:14" ht="13" x14ac:dyDescent="0.15">
      <c r="L744" s="4"/>
      <c r="M744" s="4"/>
      <c r="N744" s="4"/>
    </row>
    <row r="745" spans="12:14" ht="13" x14ac:dyDescent="0.15">
      <c r="L745" s="4"/>
      <c r="M745" s="4"/>
      <c r="N745" s="4"/>
    </row>
    <row r="746" spans="12:14" ht="13" x14ac:dyDescent="0.15">
      <c r="L746" s="4"/>
      <c r="M746" s="4"/>
      <c r="N746" s="4"/>
    </row>
    <row r="747" spans="12:14" ht="13" x14ac:dyDescent="0.15">
      <c r="L747" s="4"/>
      <c r="M747" s="4"/>
      <c r="N747" s="4"/>
    </row>
    <row r="748" spans="12:14" ht="13" x14ac:dyDescent="0.15">
      <c r="L748" s="4"/>
      <c r="M748" s="4"/>
      <c r="N748" s="4"/>
    </row>
    <row r="749" spans="12:14" ht="13" x14ac:dyDescent="0.15">
      <c r="L749" s="4"/>
      <c r="M749" s="4"/>
      <c r="N749" s="4"/>
    </row>
    <row r="750" spans="12:14" ht="13" x14ac:dyDescent="0.15">
      <c r="L750" s="4"/>
      <c r="M750" s="4"/>
      <c r="N750" s="4"/>
    </row>
    <row r="751" spans="12:14" ht="13" x14ac:dyDescent="0.15">
      <c r="L751" s="4"/>
      <c r="M751" s="4"/>
      <c r="N751" s="4"/>
    </row>
    <row r="752" spans="12:14" ht="13" x14ac:dyDescent="0.15">
      <c r="L752" s="4"/>
      <c r="M752" s="4"/>
      <c r="N752" s="4"/>
    </row>
    <row r="753" spans="12:14" ht="13" x14ac:dyDescent="0.15">
      <c r="L753" s="4"/>
      <c r="M753" s="4"/>
      <c r="N753" s="4"/>
    </row>
    <row r="754" spans="12:14" ht="13" x14ac:dyDescent="0.15">
      <c r="L754" s="4"/>
      <c r="M754" s="4"/>
      <c r="N754" s="4"/>
    </row>
    <row r="755" spans="12:14" ht="13" x14ac:dyDescent="0.15">
      <c r="L755" s="4"/>
      <c r="M755" s="4"/>
      <c r="N755" s="4"/>
    </row>
    <row r="756" spans="12:14" ht="13" x14ac:dyDescent="0.15">
      <c r="L756" s="4"/>
      <c r="M756" s="4"/>
      <c r="N756" s="4"/>
    </row>
    <row r="757" spans="12:14" ht="13" x14ac:dyDescent="0.15">
      <c r="L757" s="4"/>
      <c r="M757" s="4"/>
      <c r="N757" s="4"/>
    </row>
    <row r="758" spans="12:14" ht="13" x14ac:dyDescent="0.15">
      <c r="L758" s="4"/>
      <c r="M758" s="4"/>
      <c r="N758" s="4"/>
    </row>
    <row r="759" spans="12:14" ht="13" x14ac:dyDescent="0.15">
      <c r="L759" s="4"/>
      <c r="M759" s="4"/>
      <c r="N759" s="4"/>
    </row>
    <row r="760" spans="12:14" ht="13" x14ac:dyDescent="0.15">
      <c r="L760" s="4"/>
      <c r="M760" s="4"/>
      <c r="N760" s="4"/>
    </row>
    <row r="761" spans="12:14" ht="13" x14ac:dyDescent="0.15">
      <c r="L761" s="4"/>
      <c r="M761" s="4"/>
      <c r="N761" s="4"/>
    </row>
    <row r="762" spans="12:14" ht="13" x14ac:dyDescent="0.15">
      <c r="L762" s="4"/>
      <c r="M762" s="4"/>
      <c r="N762" s="4"/>
    </row>
    <row r="763" spans="12:14" ht="13" x14ac:dyDescent="0.15">
      <c r="L763" s="4"/>
      <c r="M763" s="4"/>
      <c r="N763" s="4"/>
    </row>
    <row r="764" spans="12:14" ht="13" x14ac:dyDescent="0.15">
      <c r="L764" s="4"/>
      <c r="M764" s="4"/>
      <c r="N764" s="4"/>
    </row>
    <row r="765" spans="12:14" ht="13" x14ac:dyDescent="0.15">
      <c r="L765" s="4"/>
      <c r="M765" s="4"/>
      <c r="N765" s="4"/>
    </row>
    <row r="766" spans="12:14" ht="13" x14ac:dyDescent="0.15">
      <c r="L766" s="4"/>
      <c r="M766" s="4"/>
      <c r="N766" s="4"/>
    </row>
    <row r="767" spans="12:14" ht="13" x14ac:dyDescent="0.15">
      <c r="L767" s="4"/>
      <c r="M767" s="4"/>
      <c r="N767" s="4"/>
    </row>
    <row r="768" spans="12:14" ht="13" x14ac:dyDescent="0.15">
      <c r="L768" s="4"/>
      <c r="M768" s="4"/>
      <c r="N768" s="4"/>
    </row>
    <row r="769" spans="12:14" ht="13" x14ac:dyDescent="0.15">
      <c r="L769" s="4"/>
      <c r="M769" s="4"/>
      <c r="N769" s="4"/>
    </row>
    <row r="770" spans="12:14" ht="13" x14ac:dyDescent="0.15">
      <c r="L770" s="4"/>
      <c r="M770" s="4"/>
      <c r="N770" s="4"/>
    </row>
    <row r="771" spans="12:14" ht="13" x14ac:dyDescent="0.15">
      <c r="L771" s="4"/>
      <c r="M771" s="4"/>
      <c r="N771" s="4"/>
    </row>
    <row r="772" spans="12:14" ht="13" x14ac:dyDescent="0.15">
      <c r="L772" s="4"/>
      <c r="M772" s="4"/>
      <c r="N772" s="4"/>
    </row>
    <row r="773" spans="12:14" ht="13" x14ac:dyDescent="0.15">
      <c r="L773" s="4"/>
      <c r="M773" s="4"/>
      <c r="N773" s="4"/>
    </row>
    <row r="774" spans="12:14" ht="13" x14ac:dyDescent="0.15">
      <c r="L774" s="4"/>
      <c r="M774" s="4"/>
      <c r="N774" s="4"/>
    </row>
    <row r="775" spans="12:14" ht="13" x14ac:dyDescent="0.15">
      <c r="L775" s="4"/>
      <c r="M775" s="4"/>
      <c r="N775" s="4"/>
    </row>
    <row r="776" spans="12:14" ht="13" x14ac:dyDescent="0.15">
      <c r="L776" s="4"/>
      <c r="M776" s="4"/>
      <c r="N776" s="4"/>
    </row>
    <row r="777" spans="12:14" ht="13" x14ac:dyDescent="0.15">
      <c r="L777" s="4"/>
      <c r="M777" s="4"/>
      <c r="N777" s="4"/>
    </row>
    <row r="778" spans="12:14" ht="13" x14ac:dyDescent="0.15">
      <c r="L778" s="4"/>
      <c r="M778" s="4"/>
      <c r="N778" s="4"/>
    </row>
    <row r="779" spans="12:14" ht="13" x14ac:dyDescent="0.15">
      <c r="L779" s="4"/>
      <c r="M779" s="4"/>
      <c r="N779" s="4"/>
    </row>
    <row r="780" spans="12:14" ht="13" x14ac:dyDescent="0.15">
      <c r="L780" s="4"/>
      <c r="M780" s="4"/>
      <c r="N780" s="4"/>
    </row>
    <row r="781" spans="12:14" ht="13" x14ac:dyDescent="0.15">
      <c r="L781" s="4"/>
      <c r="M781" s="4"/>
      <c r="N781" s="4"/>
    </row>
    <row r="782" spans="12:14" ht="13" x14ac:dyDescent="0.15">
      <c r="L782" s="4"/>
      <c r="M782" s="4"/>
      <c r="N782" s="4"/>
    </row>
    <row r="783" spans="12:14" ht="13" x14ac:dyDescent="0.15">
      <c r="L783" s="4"/>
      <c r="M783" s="4"/>
      <c r="N783" s="4"/>
    </row>
    <row r="784" spans="12:14" ht="13" x14ac:dyDescent="0.15">
      <c r="L784" s="4"/>
      <c r="M784" s="4"/>
      <c r="N784" s="4"/>
    </row>
    <row r="785" spans="12:14" ht="13" x14ac:dyDescent="0.15">
      <c r="L785" s="4"/>
      <c r="M785" s="4"/>
      <c r="N785" s="4"/>
    </row>
    <row r="786" spans="12:14" ht="13" x14ac:dyDescent="0.15">
      <c r="L786" s="4"/>
      <c r="M786" s="4"/>
      <c r="N786" s="4"/>
    </row>
    <row r="787" spans="12:14" ht="13" x14ac:dyDescent="0.15">
      <c r="L787" s="4"/>
      <c r="M787" s="4"/>
      <c r="N787" s="4"/>
    </row>
    <row r="788" spans="12:14" ht="13" x14ac:dyDescent="0.15">
      <c r="L788" s="4"/>
      <c r="M788" s="4"/>
      <c r="N788" s="4"/>
    </row>
    <row r="789" spans="12:14" ht="13" x14ac:dyDescent="0.15">
      <c r="L789" s="4"/>
      <c r="M789" s="4"/>
      <c r="N789" s="4"/>
    </row>
    <row r="790" spans="12:14" ht="13" x14ac:dyDescent="0.15">
      <c r="L790" s="4"/>
      <c r="M790" s="4"/>
      <c r="N790" s="4"/>
    </row>
    <row r="791" spans="12:14" ht="13" x14ac:dyDescent="0.15">
      <c r="L791" s="4"/>
      <c r="M791" s="4"/>
      <c r="N791" s="4"/>
    </row>
    <row r="792" spans="12:14" ht="13" x14ac:dyDescent="0.15">
      <c r="L792" s="4"/>
      <c r="M792" s="4"/>
      <c r="N792" s="4"/>
    </row>
    <row r="793" spans="12:14" ht="13" x14ac:dyDescent="0.15">
      <c r="L793" s="4"/>
      <c r="M793" s="4"/>
      <c r="N793" s="4"/>
    </row>
    <row r="794" spans="12:14" ht="13" x14ac:dyDescent="0.15">
      <c r="L794" s="4"/>
      <c r="M794" s="4"/>
      <c r="N794" s="4"/>
    </row>
    <row r="795" spans="12:14" ht="13" x14ac:dyDescent="0.15">
      <c r="L795" s="4"/>
      <c r="M795" s="4"/>
      <c r="N795" s="4"/>
    </row>
    <row r="796" spans="12:14" ht="13" x14ac:dyDescent="0.15">
      <c r="L796" s="4"/>
      <c r="M796" s="4"/>
      <c r="N796" s="4"/>
    </row>
    <row r="797" spans="12:14" ht="13" x14ac:dyDescent="0.15">
      <c r="L797" s="4"/>
      <c r="M797" s="4"/>
      <c r="N797" s="4"/>
    </row>
    <row r="798" spans="12:14" ht="13" x14ac:dyDescent="0.15">
      <c r="L798" s="4"/>
      <c r="M798" s="4"/>
      <c r="N798" s="4"/>
    </row>
    <row r="799" spans="12:14" ht="13" x14ac:dyDescent="0.15">
      <c r="L799" s="4"/>
      <c r="M799" s="4"/>
      <c r="N799" s="4"/>
    </row>
    <row r="800" spans="12:14" ht="13" x14ac:dyDescent="0.15">
      <c r="L800" s="4"/>
      <c r="M800" s="4"/>
      <c r="N800" s="4"/>
    </row>
    <row r="801" spans="12:14" ht="13" x14ac:dyDescent="0.15">
      <c r="L801" s="4"/>
      <c r="M801" s="4"/>
      <c r="N801" s="4"/>
    </row>
    <row r="802" spans="12:14" ht="13" x14ac:dyDescent="0.15">
      <c r="L802" s="4"/>
      <c r="M802" s="4"/>
      <c r="N802" s="4"/>
    </row>
    <row r="803" spans="12:14" ht="13" x14ac:dyDescent="0.15">
      <c r="L803" s="4"/>
      <c r="M803" s="4"/>
      <c r="N803" s="4"/>
    </row>
    <row r="804" spans="12:14" ht="13" x14ac:dyDescent="0.15">
      <c r="L804" s="4"/>
      <c r="M804" s="4"/>
      <c r="N804" s="4"/>
    </row>
    <row r="805" spans="12:14" ht="13" x14ac:dyDescent="0.15">
      <c r="L805" s="4"/>
      <c r="M805" s="4"/>
      <c r="N805" s="4"/>
    </row>
    <row r="806" spans="12:14" ht="13" x14ac:dyDescent="0.15">
      <c r="L806" s="4"/>
      <c r="M806" s="4"/>
      <c r="N806" s="4"/>
    </row>
    <row r="807" spans="12:14" ht="13" x14ac:dyDescent="0.15">
      <c r="L807" s="4"/>
      <c r="M807" s="4"/>
      <c r="N807" s="4"/>
    </row>
    <row r="808" spans="12:14" ht="13" x14ac:dyDescent="0.15">
      <c r="L808" s="4"/>
      <c r="M808" s="4"/>
      <c r="N808" s="4"/>
    </row>
    <row r="809" spans="12:14" ht="13" x14ac:dyDescent="0.15">
      <c r="L809" s="4"/>
      <c r="M809" s="4"/>
      <c r="N809" s="4"/>
    </row>
    <row r="810" spans="12:14" ht="13" x14ac:dyDescent="0.15">
      <c r="L810" s="4"/>
      <c r="M810" s="4"/>
      <c r="N810" s="4"/>
    </row>
    <row r="811" spans="12:14" ht="13" x14ac:dyDescent="0.15">
      <c r="L811" s="4"/>
      <c r="M811" s="4"/>
      <c r="N811" s="4"/>
    </row>
    <row r="812" spans="12:14" ht="13" x14ac:dyDescent="0.15">
      <c r="L812" s="4"/>
      <c r="M812" s="4"/>
      <c r="N812" s="4"/>
    </row>
    <row r="813" spans="12:14" ht="13" x14ac:dyDescent="0.15">
      <c r="L813" s="4"/>
      <c r="M813" s="4"/>
      <c r="N813" s="4"/>
    </row>
    <row r="814" spans="12:14" ht="13" x14ac:dyDescent="0.15">
      <c r="L814" s="4"/>
      <c r="M814" s="4"/>
      <c r="N814" s="4"/>
    </row>
    <row r="815" spans="12:14" ht="13" x14ac:dyDescent="0.15">
      <c r="L815" s="4"/>
      <c r="M815" s="4"/>
      <c r="N815" s="4"/>
    </row>
    <row r="816" spans="12:14" ht="13" x14ac:dyDescent="0.15">
      <c r="L816" s="4"/>
      <c r="M816" s="4"/>
      <c r="N816" s="4"/>
    </row>
    <row r="817" spans="12:14" ht="13" x14ac:dyDescent="0.15">
      <c r="L817" s="4"/>
      <c r="M817" s="4"/>
      <c r="N817" s="4"/>
    </row>
    <row r="818" spans="12:14" ht="13" x14ac:dyDescent="0.15">
      <c r="L818" s="4"/>
      <c r="M818" s="4"/>
      <c r="N818" s="4"/>
    </row>
    <row r="819" spans="12:14" ht="13" x14ac:dyDescent="0.15">
      <c r="L819" s="4"/>
      <c r="M819" s="4"/>
      <c r="N819" s="4"/>
    </row>
    <row r="820" spans="12:14" ht="13" x14ac:dyDescent="0.15">
      <c r="L820" s="4"/>
      <c r="M820" s="4"/>
      <c r="N820" s="4"/>
    </row>
    <row r="821" spans="12:14" ht="13" x14ac:dyDescent="0.15">
      <c r="L821" s="4"/>
      <c r="M821" s="4"/>
      <c r="N821" s="4"/>
    </row>
    <row r="822" spans="12:14" ht="13" x14ac:dyDescent="0.15">
      <c r="L822" s="4"/>
      <c r="M822" s="4"/>
      <c r="N822" s="4"/>
    </row>
    <row r="823" spans="12:14" ht="13" x14ac:dyDescent="0.15">
      <c r="L823" s="4"/>
      <c r="M823" s="4"/>
      <c r="N823" s="4"/>
    </row>
    <row r="824" spans="12:14" ht="13" x14ac:dyDescent="0.15">
      <c r="L824" s="4"/>
      <c r="M824" s="4"/>
      <c r="N824" s="4"/>
    </row>
    <row r="825" spans="12:14" ht="13" x14ac:dyDescent="0.15">
      <c r="L825" s="4"/>
      <c r="M825" s="4"/>
      <c r="N825" s="4"/>
    </row>
    <row r="826" spans="12:14" ht="13" x14ac:dyDescent="0.15">
      <c r="L826" s="4"/>
      <c r="M826" s="4"/>
      <c r="N826" s="4"/>
    </row>
    <row r="827" spans="12:14" ht="13" x14ac:dyDescent="0.15">
      <c r="L827" s="4"/>
      <c r="M827" s="4"/>
      <c r="N827" s="4"/>
    </row>
    <row r="828" spans="12:14" ht="13" x14ac:dyDescent="0.15">
      <c r="L828" s="4"/>
      <c r="M828" s="4"/>
      <c r="N828" s="4"/>
    </row>
    <row r="829" spans="12:14" ht="13" x14ac:dyDescent="0.15">
      <c r="L829" s="4"/>
      <c r="M829" s="4"/>
      <c r="N829" s="4"/>
    </row>
    <row r="830" spans="12:14" ht="13" x14ac:dyDescent="0.15">
      <c r="L830" s="4"/>
      <c r="M830" s="4"/>
      <c r="N830" s="4"/>
    </row>
    <row r="831" spans="12:14" ht="13" x14ac:dyDescent="0.15">
      <c r="L831" s="4"/>
      <c r="M831" s="4"/>
      <c r="N831" s="4"/>
    </row>
    <row r="832" spans="12:14" ht="13" x14ac:dyDescent="0.15">
      <c r="L832" s="4"/>
      <c r="M832" s="4"/>
      <c r="N832" s="4"/>
    </row>
    <row r="833" spans="12:14" ht="13" x14ac:dyDescent="0.15">
      <c r="L833" s="4"/>
      <c r="M833" s="4"/>
      <c r="N833" s="4"/>
    </row>
    <row r="834" spans="12:14" ht="13" x14ac:dyDescent="0.15">
      <c r="L834" s="4"/>
      <c r="M834" s="4"/>
      <c r="N834" s="4"/>
    </row>
    <row r="835" spans="12:14" ht="13" x14ac:dyDescent="0.15">
      <c r="L835" s="4"/>
      <c r="M835" s="4"/>
      <c r="N835" s="4"/>
    </row>
    <row r="836" spans="12:14" ht="13" x14ac:dyDescent="0.15">
      <c r="L836" s="4"/>
      <c r="M836" s="4"/>
      <c r="N836" s="4"/>
    </row>
    <row r="837" spans="12:14" ht="13" x14ac:dyDescent="0.15">
      <c r="L837" s="4"/>
      <c r="M837" s="4"/>
      <c r="N837" s="4"/>
    </row>
    <row r="838" spans="12:14" ht="13" x14ac:dyDescent="0.15">
      <c r="L838" s="4"/>
      <c r="M838" s="4"/>
      <c r="N838" s="4"/>
    </row>
    <row r="839" spans="12:14" ht="13" x14ac:dyDescent="0.15">
      <c r="L839" s="4"/>
      <c r="M839" s="4"/>
      <c r="N839" s="4"/>
    </row>
    <row r="840" spans="12:14" ht="13" x14ac:dyDescent="0.15">
      <c r="L840" s="4"/>
      <c r="M840" s="4"/>
      <c r="N840" s="4"/>
    </row>
    <row r="841" spans="12:14" ht="13" x14ac:dyDescent="0.15">
      <c r="L841" s="4"/>
      <c r="M841" s="4"/>
      <c r="N841" s="4"/>
    </row>
    <row r="842" spans="12:14" ht="13" x14ac:dyDescent="0.15">
      <c r="L842" s="4"/>
      <c r="M842" s="4"/>
      <c r="N842" s="4"/>
    </row>
    <row r="843" spans="12:14" ht="13" x14ac:dyDescent="0.15">
      <c r="L843" s="4"/>
      <c r="M843" s="4"/>
      <c r="N843" s="4"/>
    </row>
    <row r="844" spans="12:14" ht="13" x14ac:dyDescent="0.15">
      <c r="L844" s="4"/>
      <c r="M844" s="4"/>
      <c r="N844" s="4"/>
    </row>
    <row r="845" spans="12:14" ht="13" x14ac:dyDescent="0.15">
      <c r="L845" s="4"/>
      <c r="M845" s="4"/>
      <c r="N845" s="4"/>
    </row>
    <row r="846" spans="12:14" ht="13" x14ac:dyDescent="0.15">
      <c r="L846" s="4"/>
      <c r="M846" s="4"/>
      <c r="N846" s="4"/>
    </row>
    <row r="847" spans="12:14" ht="13" x14ac:dyDescent="0.15">
      <c r="L847" s="4"/>
      <c r="M847" s="4"/>
      <c r="N847" s="4"/>
    </row>
    <row r="848" spans="12:14" ht="13" x14ac:dyDescent="0.15">
      <c r="L848" s="4"/>
      <c r="M848" s="4"/>
      <c r="N848" s="4"/>
    </row>
    <row r="849" spans="12:14" ht="13" x14ac:dyDescent="0.15">
      <c r="L849" s="4"/>
      <c r="M849" s="4"/>
      <c r="N849" s="4"/>
    </row>
    <row r="850" spans="12:14" ht="13" x14ac:dyDescent="0.15">
      <c r="L850" s="4"/>
      <c r="M850" s="4"/>
      <c r="N850" s="4"/>
    </row>
    <row r="851" spans="12:14" ht="13" x14ac:dyDescent="0.15">
      <c r="L851" s="4"/>
      <c r="M851" s="4"/>
      <c r="N851" s="4"/>
    </row>
    <row r="852" spans="12:14" ht="13" x14ac:dyDescent="0.15">
      <c r="L852" s="4"/>
      <c r="M852" s="4"/>
      <c r="N852" s="4"/>
    </row>
    <row r="853" spans="12:14" ht="13" x14ac:dyDescent="0.15">
      <c r="L853" s="4"/>
      <c r="M853" s="4"/>
      <c r="N853" s="4"/>
    </row>
    <row r="854" spans="12:14" ht="13" x14ac:dyDescent="0.15">
      <c r="L854" s="4"/>
      <c r="M854" s="4"/>
      <c r="N854" s="4"/>
    </row>
    <row r="855" spans="12:14" ht="13" x14ac:dyDescent="0.15">
      <c r="L855" s="4"/>
      <c r="M855" s="4"/>
      <c r="N855" s="4"/>
    </row>
    <row r="856" spans="12:14" ht="13" x14ac:dyDescent="0.15">
      <c r="L856" s="4"/>
      <c r="M856" s="4"/>
      <c r="N856" s="4"/>
    </row>
    <row r="857" spans="12:14" ht="13" x14ac:dyDescent="0.15">
      <c r="L857" s="4"/>
      <c r="M857" s="4"/>
      <c r="N857" s="4"/>
    </row>
    <row r="858" spans="12:14" ht="13" x14ac:dyDescent="0.15">
      <c r="L858" s="4"/>
      <c r="M858" s="4"/>
      <c r="N858" s="4"/>
    </row>
    <row r="859" spans="12:14" ht="13" x14ac:dyDescent="0.15">
      <c r="L859" s="4"/>
      <c r="M859" s="4"/>
      <c r="N859" s="4"/>
    </row>
    <row r="860" spans="12:14" ht="13" x14ac:dyDescent="0.15">
      <c r="L860" s="4"/>
      <c r="M860" s="4"/>
      <c r="N860" s="4"/>
    </row>
    <row r="861" spans="12:14" ht="13" x14ac:dyDescent="0.15">
      <c r="L861" s="4"/>
      <c r="M861" s="4"/>
      <c r="N861" s="4"/>
    </row>
    <row r="862" spans="12:14" ht="13" x14ac:dyDescent="0.15">
      <c r="L862" s="4"/>
      <c r="M862" s="4"/>
      <c r="N862" s="4"/>
    </row>
    <row r="863" spans="12:14" ht="13" x14ac:dyDescent="0.15">
      <c r="L863" s="4"/>
      <c r="M863" s="4"/>
      <c r="N863" s="4"/>
    </row>
    <row r="864" spans="12:14" ht="13" x14ac:dyDescent="0.15">
      <c r="L864" s="4"/>
      <c r="M864" s="4"/>
      <c r="N864" s="4"/>
    </row>
    <row r="865" spans="12:14" ht="13" x14ac:dyDescent="0.15">
      <c r="L865" s="4"/>
      <c r="M865" s="4"/>
      <c r="N865" s="4"/>
    </row>
    <row r="866" spans="12:14" ht="13" x14ac:dyDescent="0.15">
      <c r="L866" s="4"/>
      <c r="M866" s="4"/>
      <c r="N866" s="4"/>
    </row>
    <row r="867" spans="12:14" ht="13" x14ac:dyDescent="0.15">
      <c r="L867" s="4"/>
      <c r="M867" s="4"/>
      <c r="N867" s="4"/>
    </row>
    <row r="868" spans="12:14" ht="13" x14ac:dyDescent="0.15">
      <c r="L868" s="4"/>
      <c r="M868" s="4"/>
      <c r="N868" s="4"/>
    </row>
    <row r="869" spans="12:14" ht="13" x14ac:dyDescent="0.15">
      <c r="L869" s="4"/>
      <c r="M869" s="4"/>
      <c r="N869" s="4"/>
    </row>
    <row r="870" spans="12:14" ht="13" x14ac:dyDescent="0.15">
      <c r="L870" s="4"/>
      <c r="M870" s="4"/>
      <c r="N870" s="4"/>
    </row>
    <row r="871" spans="12:14" ht="13" x14ac:dyDescent="0.15">
      <c r="L871" s="4"/>
      <c r="M871" s="4"/>
      <c r="N871" s="4"/>
    </row>
    <row r="872" spans="12:14" ht="13" x14ac:dyDescent="0.15">
      <c r="L872" s="4"/>
      <c r="M872" s="4"/>
      <c r="N872" s="4"/>
    </row>
    <row r="873" spans="12:14" ht="13" x14ac:dyDescent="0.15">
      <c r="L873" s="4"/>
      <c r="M873" s="4"/>
      <c r="N873" s="4"/>
    </row>
    <row r="874" spans="12:14" ht="13" x14ac:dyDescent="0.15">
      <c r="L874" s="4"/>
      <c r="M874" s="4"/>
      <c r="N874" s="4"/>
    </row>
    <row r="875" spans="12:14" ht="13" x14ac:dyDescent="0.15">
      <c r="L875" s="4"/>
      <c r="M875" s="4"/>
      <c r="N875" s="4"/>
    </row>
    <row r="876" spans="12:14" ht="13" x14ac:dyDescent="0.15">
      <c r="L876" s="4"/>
      <c r="M876" s="4"/>
      <c r="N876" s="4"/>
    </row>
    <row r="877" spans="12:14" ht="13" x14ac:dyDescent="0.15">
      <c r="L877" s="4"/>
      <c r="M877" s="4"/>
      <c r="N877" s="4"/>
    </row>
    <row r="878" spans="12:14" ht="13" x14ac:dyDescent="0.15">
      <c r="L878" s="4"/>
      <c r="M878" s="4"/>
      <c r="N878" s="4"/>
    </row>
    <row r="879" spans="12:14" ht="13" x14ac:dyDescent="0.15">
      <c r="L879" s="4"/>
      <c r="M879" s="4"/>
      <c r="N879" s="4"/>
    </row>
    <row r="880" spans="12:14" ht="13" x14ac:dyDescent="0.15">
      <c r="L880" s="4"/>
      <c r="M880" s="4"/>
      <c r="N880" s="4"/>
    </row>
    <row r="881" spans="12:14" ht="13" x14ac:dyDescent="0.15">
      <c r="L881" s="4"/>
      <c r="M881" s="4"/>
      <c r="N881" s="4"/>
    </row>
    <row r="882" spans="12:14" ht="13" x14ac:dyDescent="0.15">
      <c r="L882" s="4"/>
      <c r="M882" s="4"/>
      <c r="N882" s="4"/>
    </row>
    <row r="883" spans="12:14" ht="13" x14ac:dyDescent="0.15">
      <c r="L883" s="4"/>
      <c r="M883" s="4"/>
      <c r="N883" s="4"/>
    </row>
    <row r="884" spans="12:14" ht="13" x14ac:dyDescent="0.15">
      <c r="L884" s="4"/>
      <c r="M884" s="4"/>
      <c r="N884" s="4"/>
    </row>
    <row r="885" spans="12:14" ht="13" x14ac:dyDescent="0.15">
      <c r="L885" s="4"/>
      <c r="M885" s="4"/>
      <c r="N885" s="4"/>
    </row>
    <row r="886" spans="12:14" ht="13" x14ac:dyDescent="0.15">
      <c r="L886" s="4"/>
      <c r="M886" s="4"/>
      <c r="N886" s="4"/>
    </row>
    <row r="887" spans="12:14" ht="13" x14ac:dyDescent="0.15">
      <c r="L887" s="4"/>
      <c r="M887" s="4"/>
      <c r="N887" s="4"/>
    </row>
    <row r="888" spans="12:14" ht="13" x14ac:dyDescent="0.15">
      <c r="L888" s="4"/>
      <c r="M888" s="4"/>
      <c r="N888" s="4"/>
    </row>
    <row r="889" spans="12:14" ht="13" x14ac:dyDescent="0.15">
      <c r="L889" s="4"/>
      <c r="M889" s="4"/>
      <c r="N889" s="4"/>
    </row>
    <row r="890" spans="12:14" ht="13" x14ac:dyDescent="0.15">
      <c r="L890" s="4"/>
      <c r="M890" s="4"/>
      <c r="N890" s="4"/>
    </row>
    <row r="891" spans="12:14" ht="13" x14ac:dyDescent="0.15">
      <c r="L891" s="4"/>
      <c r="M891" s="4"/>
      <c r="N891" s="4"/>
    </row>
    <row r="892" spans="12:14" ht="13" x14ac:dyDescent="0.15">
      <c r="L892" s="4"/>
      <c r="M892" s="4"/>
      <c r="N892" s="4"/>
    </row>
    <row r="893" spans="12:14" ht="13" x14ac:dyDescent="0.15">
      <c r="L893" s="4"/>
      <c r="M893" s="4"/>
      <c r="N893" s="4"/>
    </row>
    <row r="894" spans="12:14" ht="13" x14ac:dyDescent="0.15">
      <c r="L894" s="4"/>
      <c r="M894" s="4"/>
      <c r="N894" s="4"/>
    </row>
    <row r="895" spans="12:14" ht="13" x14ac:dyDescent="0.15">
      <c r="L895" s="4"/>
      <c r="M895" s="4"/>
      <c r="N895" s="4"/>
    </row>
    <row r="896" spans="12:14" ht="13" x14ac:dyDescent="0.15">
      <c r="L896" s="4"/>
      <c r="M896" s="4"/>
      <c r="N896" s="4"/>
    </row>
    <row r="897" spans="12:14" ht="13" x14ac:dyDescent="0.15">
      <c r="L897" s="4"/>
      <c r="M897" s="4"/>
      <c r="N897" s="4"/>
    </row>
    <row r="898" spans="12:14" ht="13" x14ac:dyDescent="0.15">
      <c r="L898" s="4"/>
      <c r="M898" s="4"/>
      <c r="N898" s="4"/>
    </row>
    <row r="899" spans="12:14" ht="13" x14ac:dyDescent="0.15">
      <c r="L899" s="4"/>
      <c r="M899" s="4"/>
      <c r="N899" s="4"/>
    </row>
    <row r="900" spans="12:14" ht="13" x14ac:dyDescent="0.15">
      <c r="L900" s="4"/>
      <c r="M900" s="4"/>
      <c r="N900" s="4"/>
    </row>
    <row r="901" spans="12:14" ht="13" x14ac:dyDescent="0.15">
      <c r="L901" s="4"/>
      <c r="M901" s="4"/>
      <c r="N901" s="4"/>
    </row>
    <row r="902" spans="12:14" ht="13" x14ac:dyDescent="0.15">
      <c r="L902" s="4"/>
      <c r="M902" s="4"/>
      <c r="N902" s="4"/>
    </row>
    <row r="903" spans="12:14" ht="13" x14ac:dyDescent="0.15">
      <c r="L903" s="4"/>
      <c r="M903" s="4"/>
      <c r="N903" s="4"/>
    </row>
    <row r="904" spans="12:14" ht="13" x14ac:dyDescent="0.15">
      <c r="L904" s="4"/>
      <c r="M904" s="4"/>
      <c r="N904" s="4"/>
    </row>
    <row r="905" spans="12:14" ht="13" x14ac:dyDescent="0.15">
      <c r="L905" s="4"/>
      <c r="M905" s="4"/>
      <c r="N905" s="4"/>
    </row>
    <row r="906" spans="12:14" ht="13" x14ac:dyDescent="0.15">
      <c r="L906" s="4"/>
      <c r="M906" s="4"/>
      <c r="N906" s="4"/>
    </row>
    <row r="907" spans="12:14" ht="13" x14ac:dyDescent="0.15">
      <c r="L907" s="4"/>
      <c r="M907" s="4"/>
      <c r="N907" s="4"/>
    </row>
    <row r="908" spans="12:14" ht="13" x14ac:dyDescent="0.15">
      <c r="L908" s="4"/>
      <c r="M908" s="4"/>
      <c r="N908" s="4"/>
    </row>
    <row r="909" spans="12:14" ht="13" x14ac:dyDescent="0.15">
      <c r="L909" s="4"/>
      <c r="M909" s="4"/>
      <c r="N909" s="4"/>
    </row>
    <row r="910" spans="12:14" ht="13" x14ac:dyDescent="0.15">
      <c r="L910" s="4"/>
      <c r="M910" s="4"/>
      <c r="N910" s="4"/>
    </row>
    <row r="911" spans="12:14" ht="13" x14ac:dyDescent="0.15">
      <c r="L911" s="4"/>
      <c r="M911" s="4"/>
      <c r="N911" s="4"/>
    </row>
    <row r="912" spans="12:14" ht="13" x14ac:dyDescent="0.15">
      <c r="L912" s="4"/>
      <c r="M912" s="4"/>
      <c r="N912" s="4"/>
    </row>
    <row r="913" spans="12:14" ht="13" x14ac:dyDescent="0.15">
      <c r="L913" s="4"/>
      <c r="M913" s="4"/>
      <c r="N913" s="4"/>
    </row>
    <row r="914" spans="12:14" ht="13" x14ac:dyDescent="0.15">
      <c r="L914" s="4"/>
      <c r="M914" s="4"/>
      <c r="N914" s="4"/>
    </row>
    <row r="915" spans="12:14" ht="13" x14ac:dyDescent="0.15">
      <c r="L915" s="4"/>
      <c r="M915" s="4"/>
      <c r="N915" s="4"/>
    </row>
    <row r="916" spans="12:14" ht="13" x14ac:dyDescent="0.15">
      <c r="L916" s="4"/>
      <c r="M916" s="4"/>
      <c r="N916" s="4"/>
    </row>
    <row r="917" spans="12:14" ht="13" x14ac:dyDescent="0.15">
      <c r="L917" s="4"/>
      <c r="M917" s="4"/>
      <c r="N917" s="4"/>
    </row>
    <row r="918" spans="12:14" ht="13" x14ac:dyDescent="0.15">
      <c r="L918" s="4"/>
      <c r="M918" s="4"/>
      <c r="N918" s="4"/>
    </row>
    <row r="919" spans="12:14" ht="13" x14ac:dyDescent="0.15">
      <c r="L919" s="4"/>
      <c r="M919" s="4"/>
      <c r="N919" s="4"/>
    </row>
    <row r="920" spans="12:14" ht="13" x14ac:dyDescent="0.15">
      <c r="L920" s="4"/>
      <c r="M920" s="4"/>
      <c r="N920" s="4"/>
    </row>
    <row r="921" spans="12:14" ht="13" x14ac:dyDescent="0.15">
      <c r="L921" s="4"/>
      <c r="M921" s="4"/>
      <c r="N921" s="4"/>
    </row>
    <row r="922" spans="12:14" ht="13" x14ac:dyDescent="0.15">
      <c r="L922" s="4"/>
      <c r="M922" s="4"/>
      <c r="N922" s="4"/>
    </row>
    <row r="923" spans="12:14" ht="13" x14ac:dyDescent="0.15">
      <c r="L923" s="4"/>
      <c r="M923" s="4"/>
      <c r="N923" s="4"/>
    </row>
    <row r="924" spans="12:14" ht="13" x14ac:dyDescent="0.15">
      <c r="L924" s="4"/>
      <c r="M924" s="4"/>
      <c r="N924" s="4"/>
    </row>
    <row r="925" spans="12:14" ht="13" x14ac:dyDescent="0.15">
      <c r="L925" s="4"/>
      <c r="M925" s="4"/>
      <c r="N925" s="4"/>
    </row>
    <row r="926" spans="12:14" ht="13" x14ac:dyDescent="0.15">
      <c r="L926" s="4"/>
      <c r="M926" s="4"/>
      <c r="N926" s="4"/>
    </row>
    <row r="927" spans="12:14" ht="13" x14ac:dyDescent="0.15">
      <c r="L927" s="4"/>
      <c r="M927" s="4"/>
      <c r="N927" s="4"/>
    </row>
    <row r="928" spans="12:14" ht="13" x14ac:dyDescent="0.15">
      <c r="L928" s="4"/>
      <c r="M928" s="4"/>
      <c r="N928" s="4"/>
    </row>
    <row r="929" spans="12:14" ht="13" x14ac:dyDescent="0.15">
      <c r="L929" s="4"/>
      <c r="M929" s="4"/>
      <c r="N929" s="4"/>
    </row>
    <row r="930" spans="12:14" ht="13" x14ac:dyDescent="0.15">
      <c r="L930" s="4"/>
      <c r="M930" s="4"/>
      <c r="N930" s="4"/>
    </row>
    <row r="931" spans="12:14" ht="13" x14ac:dyDescent="0.15">
      <c r="L931" s="4"/>
      <c r="M931" s="4"/>
      <c r="N931" s="4"/>
    </row>
    <row r="932" spans="12:14" ht="13" x14ac:dyDescent="0.15">
      <c r="L932" s="4"/>
      <c r="M932" s="4"/>
      <c r="N932" s="4"/>
    </row>
    <row r="933" spans="12:14" ht="13" x14ac:dyDescent="0.15">
      <c r="L933" s="4"/>
      <c r="M933" s="4"/>
      <c r="N933" s="4"/>
    </row>
    <row r="934" spans="12:14" ht="13" x14ac:dyDescent="0.15">
      <c r="L934" s="4"/>
      <c r="M934" s="4"/>
      <c r="N934" s="4"/>
    </row>
    <row r="935" spans="12:14" ht="13" x14ac:dyDescent="0.15">
      <c r="L935" s="4"/>
      <c r="M935" s="4"/>
      <c r="N935" s="4"/>
    </row>
    <row r="936" spans="12:14" ht="13" x14ac:dyDescent="0.15">
      <c r="L936" s="4"/>
      <c r="M936" s="4"/>
      <c r="N936" s="4"/>
    </row>
    <row r="937" spans="12:14" ht="13" x14ac:dyDescent="0.15">
      <c r="L937" s="4"/>
      <c r="M937" s="4"/>
      <c r="N937" s="4"/>
    </row>
    <row r="938" spans="12:14" ht="13" x14ac:dyDescent="0.15">
      <c r="L938" s="4"/>
      <c r="M938" s="4"/>
      <c r="N938" s="4"/>
    </row>
    <row r="939" spans="12:14" ht="13" x14ac:dyDescent="0.15">
      <c r="L939" s="4"/>
      <c r="M939" s="4"/>
      <c r="N939" s="4"/>
    </row>
    <row r="940" spans="12:14" ht="13" x14ac:dyDescent="0.15">
      <c r="L940" s="4"/>
      <c r="M940" s="4"/>
      <c r="N940" s="4"/>
    </row>
    <row r="941" spans="12:14" ht="13" x14ac:dyDescent="0.15">
      <c r="L941" s="4"/>
      <c r="M941" s="4"/>
      <c r="N941" s="4"/>
    </row>
    <row r="942" spans="12:14" ht="13" x14ac:dyDescent="0.15">
      <c r="L942" s="4"/>
      <c r="M942" s="4"/>
      <c r="N942" s="4"/>
    </row>
    <row r="943" spans="12:14" ht="13" x14ac:dyDescent="0.15">
      <c r="L943" s="4"/>
      <c r="M943" s="4"/>
      <c r="N943" s="4"/>
    </row>
    <row r="944" spans="12:14" ht="13" x14ac:dyDescent="0.15">
      <c r="L944" s="4"/>
      <c r="M944" s="4"/>
      <c r="N944" s="4"/>
    </row>
    <row r="945" spans="12:14" ht="13" x14ac:dyDescent="0.15">
      <c r="L945" s="4"/>
      <c r="M945" s="4"/>
      <c r="N945" s="4"/>
    </row>
    <row r="946" spans="12:14" ht="13" x14ac:dyDescent="0.15">
      <c r="L946" s="4"/>
      <c r="M946" s="4"/>
      <c r="N946" s="4"/>
    </row>
    <row r="947" spans="12:14" ht="13" x14ac:dyDescent="0.15">
      <c r="L947" s="4"/>
      <c r="M947" s="4"/>
      <c r="N947" s="4"/>
    </row>
    <row r="948" spans="12:14" ht="13" x14ac:dyDescent="0.15">
      <c r="L948" s="4"/>
      <c r="M948" s="4"/>
      <c r="N948" s="4"/>
    </row>
    <row r="949" spans="12:14" ht="13" x14ac:dyDescent="0.15">
      <c r="L949" s="4"/>
      <c r="M949" s="4"/>
      <c r="N949" s="4"/>
    </row>
    <row r="950" spans="12:14" ht="13" x14ac:dyDescent="0.15">
      <c r="L950" s="4"/>
      <c r="M950" s="4"/>
      <c r="N950" s="4"/>
    </row>
    <row r="951" spans="12:14" ht="13" x14ac:dyDescent="0.15">
      <c r="L951" s="4"/>
      <c r="M951" s="4"/>
      <c r="N951" s="4"/>
    </row>
    <row r="952" spans="12:14" ht="13" x14ac:dyDescent="0.15">
      <c r="L952" s="4"/>
      <c r="M952" s="4"/>
      <c r="N952" s="4"/>
    </row>
    <row r="953" spans="12:14" ht="13" x14ac:dyDescent="0.15">
      <c r="L953" s="4"/>
      <c r="M953" s="4"/>
      <c r="N953" s="4"/>
    </row>
    <row r="954" spans="12:14" ht="13" x14ac:dyDescent="0.15">
      <c r="L954" s="4"/>
      <c r="M954" s="4"/>
      <c r="N954" s="4"/>
    </row>
    <row r="955" spans="12:14" ht="13" x14ac:dyDescent="0.15">
      <c r="L955" s="4"/>
      <c r="M955" s="4"/>
      <c r="N955" s="4"/>
    </row>
    <row r="956" spans="12:14" ht="13" x14ac:dyDescent="0.15">
      <c r="L956" s="4"/>
      <c r="M956" s="4"/>
      <c r="N956" s="4"/>
    </row>
    <row r="957" spans="12:14" ht="13" x14ac:dyDescent="0.15">
      <c r="L957" s="4"/>
      <c r="M957" s="4"/>
      <c r="N957" s="4"/>
    </row>
    <row r="958" spans="12:14" ht="13" x14ac:dyDescent="0.15">
      <c r="L958" s="4"/>
      <c r="M958" s="4"/>
      <c r="N958" s="4"/>
    </row>
    <row r="959" spans="12:14" ht="13" x14ac:dyDescent="0.15">
      <c r="L959" s="4"/>
      <c r="M959" s="4"/>
      <c r="N959" s="4"/>
    </row>
    <row r="960" spans="12:14" ht="13" x14ac:dyDescent="0.15">
      <c r="L960" s="4"/>
      <c r="M960" s="4"/>
      <c r="N960" s="4"/>
    </row>
    <row r="961" spans="12:14" ht="13" x14ac:dyDescent="0.15">
      <c r="L961" s="4"/>
      <c r="M961" s="4"/>
      <c r="N961" s="4"/>
    </row>
    <row r="962" spans="12:14" ht="13" x14ac:dyDescent="0.15">
      <c r="L962" s="4"/>
      <c r="M962" s="4"/>
      <c r="N962" s="4"/>
    </row>
    <row r="963" spans="12:14" ht="13" x14ac:dyDescent="0.15">
      <c r="L963" s="4"/>
      <c r="M963" s="4"/>
      <c r="N963" s="4"/>
    </row>
    <row r="964" spans="12:14" ht="13" x14ac:dyDescent="0.15">
      <c r="L964" s="4"/>
      <c r="M964" s="4"/>
      <c r="N964" s="4"/>
    </row>
    <row r="965" spans="12:14" ht="13" x14ac:dyDescent="0.15">
      <c r="L965" s="4"/>
      <c r="M965" s="4"/>
      <c r="N965" s="4"/>
    </row>
    <row r="966" spans="12:14" ht="13" x14ac:dyDescent="0.15">
      <c r="L966" s="4"/>
      <c r="M966" s="4"/>
      <c r="N966" s="4"/>
    </row>
    <row r="967" spans="12:14" ht="13" x14ac:dyDescent="0.15">
      <c r="L967" s="4"/>
      <c r="M967" s="4"/>
      <c r="N967" s="4"/>
    </row>
    <row r="968" spans="12:14" ht="13" x14ac:dyDescent="0.15">
      <c r="L968" s="4"/>
      <c r="M968" s="4"/>
      <c r="N968" s="4"/>
    </row>
    <row r="969" spans="12:14" ht="13" x14ac:dyDescent="0.15">
      <c r="L969" s="4"/>
      <c r="M969" s="4"/>
      <c r="N969" s="4"/>
    </row>
    <row r="970" spans="12:14" ht="13" x14ac:dyDescent="0.15">
      <c r="L970" s="4"/>
      <c r="M970" s="4"/>
      <c r="N970" s="4"/>
    </row>
    <row r="971" spans="12:14" ht="13" x14ac:dyDescent="0.15">
      <c r="L971" s="4"/>
      <c r="M971" s="4"/>
      <c r="N971" s="4"/>
    </row>
    <row r="972" spans="12:14" ht="13" x14ac:dyDescent="0.15">
      <c r="L972" s="4"/>
      <c r="M972" s="4"/>
      <c r="N972" s="4"/>
    </row>
    <row r="973" spans="12:14" ht="13" x14ac:dyDescent="0.15">
      <c r="L973" s="4"/>
      <c r="M973" s="4"/>
      <c r="N973" s="4"/>
    </row>
    <row r="974" spans="12:14" ht="13" x14ac:dyDescent="0.15">
      <c r="L974" s="4"/>
      <c r="M974" s="4"/>
      <c r="N974" s="4"/>
    </row>
    <row r="975" spans="12:14" ht="13" x14ac:dyDescent="0.15">
      <c r="L975" s="4"/>
      <c r="M975" s="4"/>
      <c r="N975" s="4"/>
    </row>
    <row r="976" spans="12:14" ht="13" x14ac:dyDescent="0.15">
      <c r="L976" s="4"/>
      <c r="M976" s="4"/>
      <c r="N976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BB964"/>
  <sheetViews>
    <sheetView tabSelected="1" zoomScale="115" zoomScaleNormal="75" workbookViewId="0">
      <selection activeCell="G33" sqref="G33"/>
    </sheetView>
  </sheetViews>
  <sheetFormatPr baseColWidth="10" defaultColWidth="12.6640625" defaultRowHeight="15.75" customHeight="1" outlineLevelRow="1" x14ac:dyDescent="0.15"/>
  <cols>
    <col min="1" max="1" width="22.6640625" customWidth="1"/>
    <col min="2" max="2" width="12.83203125" customWidth="1"/>
    <col min="3" max="3" width="15.5" customWidth="1"/>
    <col min="4" max="4" width="9.83203125" customWidth="1"/>
    <col min="5" max="5" width="21.1640625" customWidth="1"/>
    <col min="6" max="6" width="18.83203125" customWidth="1"/>
    <col min="7" max="9" width="12.6640625" customWidth="1"/>
    <col min="10" max="10" width="22.6640625" customWidth="1"/>
    <col min="11" max="11" width="10.1640625" customWidth="1"/>
    <col min="12" max="12" width="10.83203125" customWidth="1"/>
    <col min="13" max="13" width="11.1640625" customWidth="1"/>
    <col min="14" max="14" width="10.6640625" customWidth="1"/>
    <col min="19" max="19" width="22.6640625" customWidth="1"/>
    <col min="20" max="23" width="7.1640625" customWidth="1"/>
    <col min="29" max="32" width="7.1640625" customWidth="1"/>
  </cols>
  <sheetData>
    <row r="1" spans="1:54" ht="15.75" customHeight="1" x14ac:dyDescent="0.25">
      <c r="A1" s="3" t="s">
        <v>29</v>
      </c>
      <c r="J1" s="3" t="s">
        <v>30</v>
      </c>
      <c r="L1" s="4"/>
      <c r="M1" s="4"/>
      <c r="N1" s="4"/>
      <c r="S1" s="3" t="s">
        <v>31</v>
      </c>
      <c r="U1" s="4"/>
      <c r="V1" s="4"/>
      <c r="W1" s="4"/>
      <c r="AB1" s="3" t="s">
        <v>32</v>
      </c>
      <c r="AW1" s="6"/>
      <c r="AX1" s="6"/>
      <c r="AY1" s="6"/>
      <c r="AZ1" s="6"/>
      <c r="BA1" s="6"/>
    </row>
    <row r="2" spans="1:54" ht="15.75" customHeight="1" x14ac:dyDescent="0.15">
      <c r="B2" s="5" t="s">
        <v>33</v>
      </c>
      <c r="C2" s="5" t="s">
        <v>34</v>
      </c>
      <c r="D2" s="5" t="s">
        <v>35</v>
      </c>
      <c r="E2" s="5" t="s">
        <v>17</v>
      </c>
      <c r="K2" s="5" t="s">
        <v>33</v>
      </c>
      <c r="L2" s="5" t="s">
        <v>34</v>
      </c>
      <c r="M2" s="5" t="s">
        <v>35</v>
      </c>
      <c r="N2" s="5" t="s">
        <v>17</v>
      </c>
      <c r="P2" s="6"/>
      <c r="T2" s="5" t="s">
        <v>33</v>
      </c>
      <c r="U2" s="5" t="s">
        <v>34</v>
      </c>
      <c r="V2" s="5" t="s">
        <v>35</v>
      </c>
      <c r="W2" s="5" t="s">
        <v>17</v>
      </c>
      <c r="AC2" s="5" t="s">
        <v>33</v>
      </c>
      <c r="AD2" s="5" t="s">
        <v>34</v>
      </c>
      <c r="AE2" s="5" t="s">
        <v>35</v>
      </c>
      <c r="AF2" s="5" t="s">
        <v>17</v>
      </c>
      <c r="AW2" s="6"/>
      <c r="AX2" s="6"/>
      <c r="AY2" s="6"/>
      <c r="AZ2" s="6"/>
      <c r="BA2" s="6"/>
      <c r="BB2" s="6"/>
    </row>
    <row r="3" spans="1:54" ht="15.75" customHeight="1" x14ac:dyDescent="0.15">
      <c r="A3" s="5" t="s">
        <v>10</v>
      </c>
      <c r="B3" s="4">
        <v>0</v>
      </c>
      <c r="C3" s="4">
        <v>0</v>
      </c>
      <c r="D3" s="5">
        <v>28826.657370000001</v>
      </c>
      <c r="E3" s="5">
        <v>0</v>
      </c>
      <c r="F3">
        <f>SUM(D3:D5)</f>
        <v>50866.027049000004</v>
      </c>
      <c r="G3" s="35">
        <f>D3/$F$3</f>
        <v>0.56671729722926567</v>
      </c>
      <c r="J3" s="5" t="s">
        <v>10</v>
      </c>
      <c r="K3" s="4">
        <v>0</v>
      </c>
      <c r="L3" s="4">
        <v>0</v>
      </c>
      <c r="M3" s="4">
        <f>L6</f>
        <v>28826.657369999899</v>
      </c>
      <c r="N3" s="4">
        <f t="shared" ref="N3:N18" si="0">K3</f>
        <v>0</v>
      </c>
      <c r="P3" s="6"/>
      <c r="S3" s="5" t="s">
        <v>10</v>
      </c>
      <c r="T3" s="4">
        <v>0</v>
      </c>
      <c r="U3" s="4">
        <v>0</v>
      </c>
      <c r="V3" s="4">
        <f>U6</f>
        <v>28826.657369999899</v>
      </c>
      <c r="W3" s="4">
        <f t="shared" ref="W3:W23" si="1">T3</f>
        <v>0</v>
      </c>
      <c r="AB3" s="5" t="s">
        <v>10</v>
      </c>
      <c r="AC3" s="4">
        <v>0</v>
      </c>
      <c r="AD3" s="4">
        <v>0</v>
      </c>
      <c r="AE3" s="4">
        <f>AD6</f>
        <v>28826.657369999899</v>
      </c>
      <c r="AF3" s="4">
        <f t="shared" ref="AF3:AF15" si="2">AC3</f>
        <v>0</v>
      </c>
      <c r="AW3" s="6"/>
      <c r="AX3" s="6"/>
      <c r="AY3" s="6"/>
      <c r="AZ3" s="6"/>
      <c r="BA3" s="6"/>
    </row>
    <row r="4" spans="1:54" ht="15.75" customHeight="1" x14ac:dyDescent="0.15">
      <c r="A4" s="5" t="s">
        <v>14</v>
      </c>
      <c r="B4" s="4">
        <v>0</v>
      </c>
      <c r="C4" s="4">
        <v>0</v>
      </c>
      <c r="D4" s="5">
        <v>8264.7636289999991</v>
      </c>
      <c r="E4" s="5">
        <v>0</v>
      </c>
      <c r="G4" s="35">
        <f t="shared" ref="G4:G5" si="3">D4/$F$3</f>
        <v>0.16248101352673816</v>
      </c>
      <c r="J4" s="5" t="s">
        <v>14</v>
      </c>
      <c r="K4" s="4">
        <v>0</v>
      </c>
      <c r="L4" s="4">
        <v>0</v>
      </c>
      <c r="M4" s="4">
        <f>SUM(L7:L8)</f>
        <v>8264.7636290099999</v>
      </c>
      <c r="N4" s="4">
        <f t="shared" si="0"/>
        <v>0</v>
      </c>
      <c r="P4" s="6"/>
      <c r="S4" s="5" t="s">
        <v>14</v>
      </c>
      <c r="T4" s="4">
        <v>0</v>
      </c>
      <c r="U4" s="4">
        <v>0</v>
      </c>
      <c r="V4" s="5">
        <f>SUM(U7:U9)</f>
        <v>8264.7636290099999</v>
      </c>
      <c r="W4" s="4">
        <f t="shared" si="1"/>
        <v>0</v>
      </c>
      <c r="AB4" s="5" t="s">
        <v>14</v>
      </c>
      <c r="AC4" s="4">
        <v>0</v>
      </c>
      <c r="AD4" s="4">
        <v>0</v>
      </c>
      <c r="AE4" s="5">
        <f>SUM(AD7:AD8)</f>
        <v>8264.7636289999991</v>
      </c>
      <c r="AF4" s="4">
        <f t="shared" si="2"/>
        <v>0</v>
      </c>
      <c r="AW4" s="6"/>
      <c r="AX4" s="6"/>
      <c r="AY4" s="6"/>
      <c r="AZ4" s="6"/>
      <c r="BA4" s="6"/>
    </row>
    <row r="5" spans="1:54" ht="15.75" customHeight="1" x14ac:dyDescent="0.15">
      <c r="A5" s="5" t="s">
        <v>15</v>
      </c>
      <c r="B5" s="4">
        <v>0</v>
      </c>
      <c r="C5" s="4">
        <v>0</v>
      </c>
      <c r="D5" s="5">
        <v>13774.60605</v>
      </c>
      <c r="E5" s="5">
        <v>0</v>
      </c>
      <c r="G5" s="35">
        <f t="shared" si="3"/>
        <v>0.27080168924399611</v>
      </c>
      <c r="J5" s="5" t="s">
        <v>15</v>
      </c>
      <c r="K5" s="4">
        <v>0</v>
      </c>
      <c r="L5" s="4">
        <v>0</v>
      </c>
      <c r="M5" s="4">
        <f>SUM(L9:L11)</f>
        <v>13774.60604835</v>
      </c>
      <c r="N5" s="4">
        <f t="shared" si="0"/>
        <v>0</v>
      </c>
      <c r="P5" s="6"/>
      <c r="S5" s="5" t="s">
        <v>15</v>
      </c>
      <c r="T5" s="4">
        <v>0</v>
      </c>
      <c r="U5" s="4">
        <v>0</v>
      </c>
      <c r="V5" s="5">
        <f>SUM(U10:U13)</f>
        <v>13774.276048350001</v>
      </c>
      <c r="W5" s="4">
        <f t="shared" si="1"/>
        <v>0</v>
      </c>
      <c r="AB5" s="5" t="s">
        <v>15</v>
      </c>
      <c r="AC5" s="4">
        <v>0</v>
      </c>
      <c r="AD5" s="4">
        <v>0</v>
      </c>
      <c r="AE5" s="4">
        <f>SUM(AD9:AD10)</f>
        <v>13774.606</v>
      </c>
      <c r="AF5" s="4">
        <f t="shared" si="2"/>
        <v>0</v>
      </c>
      <c r="AW5" s="6"/>
      <c r="AX5" s="6"/>
      <c r="AY5" s="6"/>
      <c r="AZ5" s="6"/>
      <c r="BA5" s="6"/>
    </row>
    <row r="6" spans="1:54" ht="15.75" customHeight="1" x14ac:dyDescent="0.15">
      <c r="A6" s="24" t="s">
        <v>38</v>
      </c>
      <c r="B6" s="4">
        <v>0</v>
      </c>
      <c r="C6" s="23">
        <f>153569/(153569.752+24004.45+390.04+11649.07+11105.195+56.934+3760.703+6494.49)*D$3</f>
        <v>20977.432810316674</v>
      </c>
      <c r="D6" s="5">
        <v>0</v>
      </c>
      <c r="E6" s="5">
        <v>0</v>
      </c>
      <c r="J6" s="5" t="s">
        <v>38</v>
      </c>
      <c r="K6" s="4">
        <v>0</v>
      </c>
      <c r="L6" s="4">
        <f>K12</f>
        <v>28826.657369999899</v>
      </c>
      <c r="M6" s="5">
        <v>0</v>
      </c>
      <c r="N6" s="4">
        <f t="shared" si="0"/>
        <v>0</v>
      </c>
      <c r="P6" s="6"/>
      <c r="S6" s="5" t="s">
        <v>38</v>
      </c>
      <c r="T6" s="4">
        <v>0</v>
      </c>
      <c r="U6" s="4">
        <f t="shared" ref="U6:U7" si="4">T14</f>
        <v>28826.657369999899</v>
      </c>
      <c r="V6" s="5">
        <v>0</v>
      </c>
      <c r="W6" s="4">
        <f t="shared" si="1"/>
        <v>0</v>
      </c>
      <c r="AB6" s="5" t="s">
        <v>38</v>
      </c>
      <c r="AC6" s="4">
        <v>0</v>
      </c>
      <c r="AD6" s="4">
        <f t="shared" ref="AD6:AD10" si="5">AC11</f>
        <v>28826.657369999899</v>
      </c>
      <c r="AE6" s="5">
        <v>0</v>
      </c>
      <c r="AF6" s="4">
        <f t="shared" si="2"/>
        <v>0</v>
      </c>
      <c r="AW6" s="6"/>
      <c r="AX6" s="6"/>
      <c r="AY6" s="6"/>
      <c r="AZ6" s="6"/>
      <c r="BA6" s="6"/>
    </row>
    <row r="7" spans="1:54" ht="15.75" customHeight="1" x14ac:dyDescent="0.15">
      <c r="A7" s="24" t="s">
        <v>122</v>
      </c>
      <c r="B7" s="4">
        <v>0</v>
      </c>
      <c r="C7" s="23">
        <f>11649.07/(153569.752+24004.45+390.04+11649.07+11105.195+56.934+3760.703+6494.49)*D$3</f>
        <v>1591.2559385531952</v>
      </c>
      <c r="D7" s="5">
        <v>0</v>
      </c>
      <c r="E7" s="5">
        <v>0</v>
      </c>
      <c r="J7" s="5" t="s">
        <v>123</v>
      </c>
      <c r="K7" s="4">
        <v>0</v>
      </c>
      <c r="L7" s="4">
        <f>K13+K14</f>
        <v>2820.6936290100002</v>
      </c>
      <c r="M7" s="5">
        <v>0</v>
      </c>
      <c r="N7" s="4">
        <f t="shared" si="0"/>
        <v>0</v>
      </c>
      <c r="P7" s="6"/>
      <c r="Q7" s="6"/>
      <c r="R7" s="6"/>
      <c r="S7" s="5" t="s">
        <v>78</v>
      </c>
      <c r="T7" s="4">
        <v>0</v>
      </c>
      <c r="U7" s="5">
        <f t="shared" si="4"/>
        <v>491.06900000000002</v>
      </c>
      <c r="V7" s="5">
        <v>0</v>
      </c>
      <c r="W7" s="4">
        <f t="shared" si="1"/>
        <v>0</v>
      </c>
      <c r="AB7" s="5" t="s">
        <v>78</v>
      </c>
      <c r="AC7" s="4">
        <v>0</v>
      </c>
      <c r="AD7" s="5">
        <f t="shared" si="5"/>
        <v>490.73899999999998</v>
      </c>
      <c r="AE7" s="5">
        <v>0</v>
      </c>
      <c r="AF7" s="4">
        <f t="shared" si="2"/>
        <v>0</v>
      </c>
      <c r="AW7" s="6"/>
      <c r="AX7" s="6"/>
      <c r="AY7" s="6"/>
      <c r="AZ7" s="6"/>
      <c r="BA7" s="6"/>
    </row>
    <row r="8" spans="1:54" ht="15.75" customHeight="1" x14ac:dyDescent="0.15">
      <c r="A8" s="24" t="s">
        <v>124</v>
      </c>
      <c r="B8" s="4">
        <v>0</v>
      </c>
      <c r="C8" s="23">
        <f>56.934/(153569.752+24004.45+390.04+11649.07+11105.195+56.934+3760.703+6494.49)*D$3</f>
        <v>7.7771500734039378</v>
      </c>
      <c r="D8" s="5">
        <v>0</v>
      </c>
      <c r="E8" s="5">
        <v>0</v>
      </c>
      <c r="J8" s="5" t="s">
        <v>125</v>
      </c>
      <c r="K8" s="4">
        <v>0</v>
      </c>
      <c r="L8" s="4">
        <f t="shared" ref="L8:L11" si="6">K15</f>
        <v>5444.07</v>
      </c>
      <c r="M8" s="5">
        <v>0</v>
      </c>
      <c r="N8" s="4">
        <f t="shared" si="0"/>
        <v>0</v>
      </c>
      <c r="P8" s="6"/>
      <c r="Q8" s="6"/>
      <c r="R8" s="6"/>
      <c r="S8" s="5" t="s">
        <v>123</v>
      </c>
      <c r="T8" s="4">
        <v>0</v>
      </c>
      <c r="U8" s="4">
        <f>T16+T17</f>
        <v>2329.6246290099998</v>
      </c>
      <c r="V8" s="5">
        <v>0</v>
      </c>
      <c r="W8" s="4">
        <f t="shared" si="1"/>
        <v>0</v>
      </c>
      <c r="AB8" s="5" t="s">
        <v>81</v>
      </c>
      <c r="AC8" s="4">
        <v>0</v>
      </c>
      <c r="AD8" s="4">
        <f t="shared" si="5"/>
        <v>7774.0246289999995</v>
      </c>
      <c r="AE8" s="5">
        <v>0</v>
      </c>
      <c r="AF8" s="4">
        <f t="shared" si="2"/>
        <v>0</v>
      </c>
      <c r="AW8" s="6"/>
      <c r="AX8" s="6"/>
      <c r="AY8" s="6"/>
      <c r="AZ8" s="6"/>
      <c r="BA8" s="6"/>
    </row>
    <row r="9" spans="1:54" ht="15.75" customHeight="1" x14ac:dyDescent="0.15">
      <c r="A9" s="24" t="s">
        <v>126</v>
      </c>
      <c r="B9" s="4">
        <v>0</v>
      </c>
      <c r="C9" s="23">
        <f>11105.195/(153569.752+24004.45+390.04+11649.07+11105.195+56.934+3760.703+6494.49)*D$3</f>
        <v>1516.9629414658209</v>
      </c>
      <c r="D9" s="5">
        <v>0</v>
      </c>
      <c r="E9" s="5">
        <v>0</v>
      </c>
      <c r="J9" s="5" t="s">
        <v>127</v>
      </c>
      <c r="K9" s="4">
        <v>0</v>
      </c>
      <c r="L9" s="4">
        <f t="shared" si="6"/>
        <v>2274.8250483500005</v>
      </c>
      <c r="M9" s="5">
        <v>0</v>
      </c>
      <c r="N9" s="4">
        <f t="shared" si="0"/>
        <v>0</v>
      </c>
      <c r="P9" s="6"/>
      <c r="Q9" s="6"/>
      <c r="R9" s="6"/>
      <c r="S9" s="5" t="s">
        <v>125</v>
      </c>
      <c r="T9" s="4">
        <v>0</v>
      </c>
      <c r="U9" s="4">
        <f t="shared" ref="U9:U13" si="7">T18</f>
        <v>5444.07</v>
      </c>
      <c r="V9" s="5">
        <v>0</v>
      </c>
      <c r="W9" s="4">
        <f t="shared" si="1"/>
        <v>0</v>
      </c>
      <c r="AB9" s="5" t="s">
        <v>80</v>
      </c>
      <c r="AC9" s="4">
        <v>0</v>
      </c>
      <c r="AD9" s="4">
        <f t="shared" si="5"/>
        <v>773.75099999999998</v>
      </c>
      <c r="AE9" s="5">
        <v>0</v>
      </c>
      <c r="AF9" s="4">
        <f t="shared" si="2"/>
        <v>0</v>
      </c>
      <c r="AW9" s="6"/>
      <c r="AX9" s="6"/>
      <c r="AY9" s="6"/>
      <c r="AZ9" s="6"/>
      <c r="BA9" s="6"/>
    </row>
    <row r="10" spans="1:54" ht="15.75" customHeight="1" x14ac:dyDescent="0.15">
      <c r="A10" s="24" t="s">
        <v>128</v>
      </c>
      <c r="B10" s="4">
        <v>0</v>
      </c>
      <c r="C10" s="23">
        <f>24004.45/(153569.752+24004.45+390.04+11649.07+11105.195+56.934+3760.703+6494.49)*D$3</f>
        <v>3278.9933972586005</v>
      </c>
      <c r="D10" s="5">
        <v>0</v>
      </c>
      <c r="E10" s="5">
        <v>0</v>
      </c>
      <c r="J10" s="5" t="s">
        <v>129</v>
      </c>
      <c r="K10" s="4">
        <v>0</v>
      </c>
      <c r="L10" s="4">
        <f t="shared" si="6"/>
        <v>7484.9970000000003</v>
      </c>
      <c r="M10" s="5">
        <v>0</v>
      </c>
      <c r="N10" s="4">
        <f t="shared" si="0"/>
        <v>0</v>
      </c>
      <c r="P10" s="6"/>
      <c r="Q10" s="6"/>
      <c r="R10" s="6"/>
      <c r="S10" s="5" t="s">
        <v>80</v>
      </c>
      <c r="T10" s="4">
        <v>0</v>
      </c>
      <c r="U10" s="5">
        <f t="shared" si="7"/>
        <v>773.75099999999998</v>
      </c>
      <c r="V10" s="5">
        <v>0</v>
      </c>
      <c r="W10" s="4">
        <f t="shared" si="1"/>
        <v>0</v>
      </c>
      <c r="AB10" s="5" t="s">
        <v>87</v>
      </c>
      <c r="AC10" s="4">
        <v>0</v>
      </c>
      <c r="AD10" s="4">
        <f t="shared" si="5"/>
        <v>13000.855</v>
      </c>
      <c r="AE10" s="5">
        <v>0</v>
      </c>
      <c r="AF10" s="4">
        <f t="shared" si="2"/>
        <v>0</v>
      </c>
      <c r="AW10" s="6"/>
      <c r="AX10" s="6"/>
      <c r="AY10" s="6"/>
      <c r="AZ10" s="6"/>
      <c r="BA10" s="6"/>
    </row>
    <row r="11" spans="1:54" ht="15.75" customHeight="1" x14ac:dyDescent="0.15">
      <c r="A11" s="24" t="s">
        <v>130</v>
      </c>
      <c r="B11" s="4">
        <v>0</v>
      </c>
      <c r="C11" s="23">
        <f>6494.49/(153569.752+24004.45+390.04+11649.07+11105.195+56.934+3760.703+6494.49)*D$3</f>
        <v>887.14341834793163</v>
      </c>
      <c r="D11" s="5">
        <v>0</v>
      </c>
      <c r="E11" s="5">
        <v>0</v>
      </c>
      <c r="J11" s="5" t="s">
        <v>131</v>
      </c>
      <c r="K11" s="4">
        <v>0</v>
      </c>
      <c r="L11" s="4">
        <f t="shared" si="6"/>
        <v>4014.7840000000001</v>
      </c>
      <c r="M11" s="5">
        <v>0</v>
      </c>
      <c r="N11" s="4">
        <f t="shared" si="0"/>
        <v>0</v>
      </c>
      <c r="S11" s="5" t="s">
        <v>127</v>
      </c>
      <c r="T11" s="4">
        <v>0</v>
      </c>
      <c r="U11" s="4">
        <f t="shared" si="7"/>
        <v>1500.7440483500006</v>
      </c>
      <c r="V11" s="5">
        <v>0</v>
      </c>
      <c r="W11" s="4">
        <f t="shared" si="1"/>
        <v>0</v>
      </c>
      <c r="AB11" s="5" t="s">
        <v>50</v>
      </c>
      <c r="AC11" s="4">
        <v>28826.657369999899</v>
      </c>
      <c r="AD11" s="4">
        <v>0</v>
      </c>
      <c r="AE11" s="5">
        <v>0</v>
      </c>
      <c r="AF11" s="4">
        <f t="shared" si="2"/>
        <v>28826.657369999899</v>
      </c>
      <c r="AW11" s="6"/>
      <c r="AX11" s="31"/>
      <c r="AY11" s="6"/>
      <c r="AZ11" s="6"/>
      <c r="BA11" s="6"/>
    </row>
    <row r="12" spans="1:54" ht="15.75" customHeight="1" x14ac:dyDescent="0.15">
      <c r="A12" s="24" t="s">
        <v>132</v>
      </c>
      <c r="B12" s="4">
        <v>0</v>
      </c>
      <c r="C12" s="23">
        <f>3760.703/(153569.752+24004.45+390.04+11649.07+11105.195+56.934+3760.703+6494.49)*D$3</f>
        <v>513.70976240033042</v>
      </c>
      <c r="D12" s="5">
        <v>0</v>
      </c>
      <c r="E12" s="5">
        <v>0</v>
      </c>
      <c r="J12" s="5" t="s">
        <v>50</v>
      </c>
      <c r="K12" s="4">
        <v>28826.657369999899</v>
      </c>
      <c r="L12" s="4">
        <v>0</v>
      </c>
      <c r="M12" s="5">
        <v>0</v>
      </c>
      <c r="N12" s="4">
        <f t="shared" si="0"/>
        <v>28826.657369999899</v>
      </c>
      <c r="P12" s="6"/>
      <c r="Q12" s="6"/>
      <c r="R12" s="6"/>
      <c r="S12" s="5" t="s">
        <v>129</v>
      </c>
      <c r="T12" s="4">
        <v>0</v>
      </c>
      <c r="U12" s="4">
        <f t="shared" si="7"/>
        <v>7484.9970000000003</v>
      </c>
      <c r="V12" s="5">
        <v>0</v>
      </c>
      <c r="W12" s="4">
        <f t="shared" si="1"/>
        <v>0</v>
      </c>
      <c r="AB12" s="5" t="s">
        <v>83</v>
      </c>
      <c r="AC12" s="5">
        <v>490.73899999999998</v>
      </c>
      <c r="AD12" s="4">
        <v>0</v>
      </c>
      <c r="AE12" s="5">
        <v>0</v>
      </c>
      <c r="AF12" s="5">
        <f t="shared" si="2"/>
        <v>490.73899999999998</v>
      </c>
      <c r="AW12" s="6"/>
      <c r="AX12" s="6"/>
      <c r="AY12" s="6"/>
      <c r="AZ12" s="6"/>
      <c r="BA12" s="6"/>
    </row>
    <row r="13" spans="1:54" ht="15.75" customHeight="1" x14ac:dyDescent="0.15">
      <c r="A13" s="24" t="s">
        <v>133</v>
      </c>
      <c r="B13" s="4">
        <v>0</v>
      </c>
      <c r="C13" s="23">
        <f>390.04/(153569.752+24004.45+390.04+11649.07+11105.195+56.934+3760.703+6494.49)*D$3</f>
        <v>53.27922883743409</v>
      </c>
      <c r="D13" s="5">
        <v>0</v>
      </c>
      <c r="E13" s="5">
        <v>0</v>
      </c>
      <c r="J13" s="5" t="s">
        <v>134</v>
      </c>
      <c r="K13" s="4">
        <v>1464.39</v>
      </c>
      <c r="L13" s="4">
        <v>0</v>
      </c>
      <c r="M13" s="5">
        <v>0</v>
      </c>
      <c r="N13" s="4">
        <f t="shared" si="0"/>
        <v>1464.39</v>
      </c>
      <c r="P13" s="6"/>
      <c r="Q13" s="6"/>
      <c r="R13" s="6"/>
      <c r="S13" s="5" t="s">
        <v>131</v>
      </c>
      <c r="T13" s="4">
        <v>0</v>
      </c>
      <c r="U13" s="4">
        <f t="shared" si="7"/>
        <v>4014.7840000000001</v>
      </c>
      <c r="V13" s="5">
        <v>0</v>
      </c>
      <c r="W13" s="4">
        <f t="shared" si="1"/>
        <v>0</v>
      </c>
      <c r="AB13" s="5" t="s">
        <v>91</v>
      </c>
      <c r="AC13" s="4">
        <v>7774.0246289999995</v>
      </c>
      <c r="AD13" s="4">
        <v>0</v>
      </c>
      <c r="AE13" s="5">
        <v>0</v>
      </c>
      <c r="AF13" s="4">
        <f t="shared" si="2"/>
        <v>7774.0246289999995</v>
      </c>
      <c r="AW13" s="6"/>
      <c r="AX13" s="6"/>
      <c r="AY13" s="6"/>
      <c r="AZ13" s="6"/>
      <c r="BA13" s="6"/>
    </row>
    <row r="14" spans="1:54" ht="15.75" customHeight="1" x14ac:dyDescent="0.15">
      <c r="A14" s="26" t="s">
        <v>78</v>
      </c>
      <c r="B14" s="4">
        <v>0</v>
      </c>
      <c r="C14" s="27">
        <f>490.739/(490.739+5212.109+3657.62+5444.07-2799.797+1784.05+2274.645)*D$4</f>
        <v>252.48905891191839</v>
      </c>
      <c r="D14" s="5">
        <v>0</v>
      </c>
      <c r="E14" s="5">
        <v>0</v>
      </c>
      <c r="J14" s="5" t="s">
        <v>135</v>
      </c>
      <c r="K14" s="4">
        <f>8264.76362901-K13-K15</f>
        <v>1356.3036290099999</v>
      </c>
      <c r="L14" s="4">
        <v>0</v>
      </c>
      <c r="M14" s="5">
        <v>0</v>
      </c>
      <c r="N14" s="4">
        <f t="shared" si="0"/>
        <v>1356.3036290099999</v>
      </c>
      <c r="S14" s="5" t="s">
        <v>50</v>
      </c>
      <c r="T14" s="4">
        <v>28826.657369999899</v>
      </c>
      <c r="U14" s="4">
        <v>0</v>
      </c>
      <c r="V14" s="5">
        <v>0</v>
      </c>
      <c r="W14" s="4">
        <f t="shared" si="1"/>
        <v>28826.657369999899</v>
      </c>
      <c r="AB14" s="5" t="s">
        <v>85</v>
      </c>
      <c r="AC14" s="4">
        <v>773.75099999999998</v>
      </c>
      <c r="AD14" s="4">
        <v>0</v>
      </c>
      <c r="AE14" s="5">
        <v>0</v>
      </c>
      <c r="AF14" s="4">
        <f t="shared" si="2"/>
        <v>773.75099999999998</v>
      </c>
      <c r="AW14" s="6"/>
      <c r="AX14" s="6"/>
      <c r="AY14" s="6"/>
      <c r="AZ14" s="6"/>
      <c r="BA14" s="6"/>
    </row>
    <row r="15" spans="1:54" ht="15.75" customHeight="1" x14ac:dyDescent="0.15">
      <c r="A15" s="26" t="s">
        <v>125</v>
      </c>
      <c r="B15" s="4">
        <v>0</v>
      </c>
      <c r="C15" s="27">
        <f>(5444.07-2799.797)/(490.739+5212.109+3657.62+5444.07-2799.797+1784.05+2274.645)*D$4</f>
        <v>1360.4991681447677</v>
      </c>
      <c r="D15" s="5">
        <v>0</v>
      </c>
      <c r="E15" s="5">
        <v>0</v>
      </c>
      <c r="J15" s="5" t="s">
        <v>136</v>
      </c>
      <c r="K15" s="4">
        <v>5444.07</v>
      </c>
      <c r="L15" s="4">
        <v>0</v>
      </c>
      <c r="M15" s="5">
        <v>0</v>
      </c>
      <c r="N15" s="4">
        <f t="shared" si="0"/>
        <v>5444.07</v>
      </c>
      <c r="P15" s="6"/>
      <c r="Q15" s="6"/>
      <c r="R15" s="6"/>
      <c r="S15" s="5" t="s">
        <v>83</v>
      </c>
      <c r="T15" s="5">
        <v>491.06900000000002</v>
      </c>
      <c r="U15" s="4">
        <v>0</v>
      </c>
      <c r="V15" s="5">
        <v>0</v>
      </c>
      <c r="W15" s="5">
        <f t="shared" si="1"/>
        <v>491.06900000000002</v>
      </c>
      <c r="AB15" s="5" t="s">
        <v>94</v>
      </c>
      <c r="AC15" s="4">
        <v>13000.855</v>
      </c>
      <c r="AD15" s="4">
        <v>0</v>
      </c>
      <c r="AE15" s="5">
        <v>0</v>
      </c>
      <c r="AF15" s="4">
        <f t="shared" si="2"/>
        <v>13000.855</v>
      </c>
      <c r="AW15" s="6"/>
      <c r="AX15" s="6"/>
      <c r="AY15" s="6"/>
      <c r="AZ15" s="6"/>
      <c r="BA15" s="6"/>
    </row>
    <row r="16" spans="1:54" ht="15.75" customHeight="1" x14ac:dyDescent="0.15">
      <c r="A16" s="26" t="s">
        <v>137</v>
      </c>
      <c r="B16" s="4">
        <v>0</v>
      </c>
      <c r="C16" s="27">
        <f>3657.62/(490.739+5212.109+3657.62+5444.07-2799.797+1784.05+2274.645)*D$4</f>
        <v>1881.8741360629804</v>
      </c>
      <c r="D16" s="5">
        <v>0</v>
      </c>
      <c r="E16" s="5">
        <v>0</v>
      </c>
      <c r="J16" s="5" t="s">
        <v>138</v>
      </c>
      <c r="K16" s="4">
        <f>13774.60604835-K18-K17</f>
        <v>2274.8250483500005</v>
      </c>
      <c r="L16" s="4">
        <v>0</v>
      </c>
      <c r="M16" s="5">
        <v>0</v>
      </c>
      <c r="N16" s="4">
        <f t="shared" si="0"/>
        <v>2274.8250483500005</v>
      </c>
      <c r="P16" s="6"/>
      <c r="Q16" s="6"/>
      <c r="R16" s="6"/>
      <c r="S16" s="5" t="s">
        <v>134</v>
      </c>
      <c r="T16" s="4">
        <v>1464.39</v>
      </c>
      <c r="U16" s="4">
        <v>0</v>
      </c>
      <c r="V16" s="5">
        <v>0</v>
      </c>
      <c r="W16" s="4">
        <f t="shared" si="1"/>
        <v>1464.39</v>
      </c>
      <c r="AD16" s="4"/>
      <c r="AW16" s="6"/>
      <c r="AX16" s="6"/>
      <c r="AY16" s="6"/>
      <c r="AZ16" s="6"/>
      <c r="BA16" s="6"/>
    </row>
    <row r="17" spans="1:53" ht="15.75" customHeight="1" outlineLevel="1" x14ac:dyDescent="0.15">
      <c r="A17" s="26" t="s">
        <v>123</v>
      </c>
      <c r="B17" s="4">
        <v>0</v>
      </c>
      <c r="C17" s="26">
        <f>5212.109/(490.739+5212.109+3657.62+5444.07-2799.797+1784.05+2274.645)*D$4</f>
        <v>2681.6709011436628</v>
      </c>
      <c r="D17" s="5">
        <v>0</v>
      </c>
      <c r="E17" s="5">
        <v>0</v>
      </c>
      <c r="J17" s="5" t="s">
        <v>139</v>
      </c>
      <c r="K17" s="4">
        <v>7484.9970000000003</v>
      </c>
      <c r="L17" s="4">
        <v>0</v>
      </c>
      <c r="M17" s="5">
        <v>0</v>
      </c>
      <c r="N17" s="4">
        <f t="shared" si="0"/>
        <v>7484.9970000000003</v>
      </c>
      <c r="P17" s="6"/>
      <c r="Q17" s="6"/>
      <c r="R17" s="6"/>
      <c r="S17" s="5" t="s">
        <v>135</v>
      </c>
      <c r="T17" s="4">
        <f>8264.76362901-T16-T18-T15</f>
        <v>865.23462900999994</v>
      </c>
      <c r="U17" s="4">
        <v>0</v>
      </c>
      <c r="V17" s="5">
        <v>0</v>
      </c>
      <c r="W17" s="4">
        <f t="shared" si="1"/>
        <v>865.23462900999994</v>
      </c>
      <c r="AC17" s="4"/>
      <c r="AD17" s="4"/>
      <c r="AW17" s="6"/>
      <c r="AX17" s="6"/>
      <c r="AY17" s="6"/>
      <c r="AZ17" s="6"/>
      <c r="BA17" s="6"/>
    </row>
    <row r="18" spans="1:53" ht="15.75" customHeight="1" x14ac:dyDescent="0.15">
      <c r="A18" s="26" t="s">
        <v>140</v>
      </c>
      <c r="B18" s="4">
        <v>0</v>
      </c>
      <c r="C18" s="26">
        <f>2274.645/(490.739+5212.109+3657.62+5444.07-2799.797+1784.05+2274.645)*D$4</f>
        <v>1170.3226672603982</v>
      </c>
      <c r="D18" s="5">
        <v>0</v>
      </c>
      <c r="E18" s="5">
        <v>0</v>
      </c>
      <c r="F18" s="5" t="s">
        <v>63</v>
      </c>
      <c r="G18" s="8">
        <f>D3/SUM(D3:D5)</f>
        <v>0.56671729722926567</v>
      </c>
      <c r="J18" s="5" t="s">
        <v>141</v>
      </c>
      <c r="K18" s="4">
        <v>4014.7840000000001</v>
      </c>
      <c r="L18" s="4">
        <v>0</v>
      </c>
      <c r="M18" s="5">
        <v>0</v>
      </c>
      <c r="N18" s="4">
        <f t="shared" si="0"/>
        <v>4014.7840000000001</v>
      </c>
      <c r="S18" s="5" t="s">
        <v>136</v>
      </c>
      <c r="T18" s="4">
        <v>5444.07</v>
      </c>
      <c r="U18" s="4">
        <v>0</v>
      </c>
      <c r="V18" s="5">
        <v>0</v>
      </c>
      <c r="W18" s="4">
        <f t="shared" si="1"/>
        <v>5444.07</v>
      </c>
      <c r="AC18" s="4"/>
      <c r="AD18" s="4"/>
      <c r="AW18" s="6"/>
      <c r="AX18" s="6"/>
      <c r="AY18" s="6"/>
      <c r="AZ18" s="6"/>
      <c r="BA18" s="6"/>
    </row>
    <row r="19" spans="1:53" ht="15.75" customHeight="1" x14ac:dyDescent="0.15">
      <c r="A19" s="26" t="s">
        <v>142</v>
      </c>
      <c r="B19" s="4">
        <v>0</v>
      </c>
      <c r="C19" s="26">
        <f>1784.05/(490.739+5212.109+3657.62+5444.07-2799.797+1784.05+2274.645)*D$4</f>
        <v>917.90769747627144</v>
      </c>
      <c r="D19" s="5">
        <v>0</v>
      </c>
      <c r="E19" s="5">
        <v>0</v>
      </c>
      <c r="F19" s="5" t="s">
        <v>65</v>
      </c>
      <c r="G19" s="8">
        <f>(C6+C14+C20)/SUM(D3:D5)</f>
        <v>0.43019087773605025</v>
      </c>
      <c r="P19" s="6"/>
      <c r="Q19" s="6"/>
      <c r="R19" s="6"/>
      <c r="S19" s="5" t="s">
        <v>85</v>
      </c>
      <c r="T19" s="5">
        <v>773.75099999999998</v>
      </c>
      <c r="U19" s="4">
        <v>0</v>
      </c>
      <c r="V19" s="5">
        <v>0</v>
      </c>
      <c r="W19" s="5">
        <f t="shared" si="1"/>
        <v>773.75099999999998</v>
      </c>
      <c r="AC19" s="4"/>
      <c r="AD19" s="4"/>
      <c r="AW19" s="6"/>
      <c r="AX19" s="6"/>
      <c r="AY19" s="6"/>
      <c r="AZ19" s="6"/>
      <c r="BA19" s="6"/>
    </row>
    <row r="20" spans="1:53" ht="15.75" customHeight="1" x14ac:dyDescent="0.15">
      <c r="A20" s="28" t="s">
        <v>80</v>
      </c>
      <c r="B20" s="4">
        <v>0</v>
      </c>
      <c r="C20" s="28">
        <f>773.751/(773.751+7484.997+3724.435+4014.784+91.92+252.43)*D$5</f>
        <v>652.17895392639548</v>
      </c>
      <c r="D20" s="5">
        <v>0</v>
      </c>
      <c r="E20" s="5">
        <v>0</v>
      </c>
      <c r="F20" s="5" t="s">
        <v>67</v>
      </c>
      <c r="G20" s="8">
        <f>(B26+B35+B42+B49+B55+B62)/SUM(D3:D5)</f>
        <v>7.4047230685654233E-2</v>
      </c>
      <c r="P20" s="6"/>
      <c r="Q20" s="6"/>
      <c r="R20" s="6"/>
      <c r="S20" s="5" t="s">
        <v>138</v>
      </c>
      <c r="T20" s="4">
        <f>13774.60604835-T22-T21-T23-T19</f>
        <v>1500.7440483500006</v>
      </c>
      <c r="U20" s="4">
        <v>0</v>
      </c>
      <c r="V20" s="5">
        <v>0</v>
      </c>
      <c r="W20" s="4">
        <f t="shared" si="1"/>
        <v>1500.7440483500006</v>
      </c>
      <c r="AB20" s="1"/>
      <c r="AD20" s="4"/>
      <c r="AW20" s="6"/>
      <c r="AX20" s="6"/>
      <c r="AY20" s="6"/>
      <c r="AZ20" s="6"/>
      <c r="BA20" s="6"/>
    </row>
    <row r="21" spans="1:53" ht="15.75" customHeight="1" x14ac:dyDescent="0.15">
      <c r="A21" s="28" t="s">
        <v>131</v>
      </c>
      <c r="B21" s="4">
        <v>0</v>
      </c>
      <c r="C21" s="28">
        <f>4014.784/(773.751+7484.997+3724.435+4014.784+91.92+252.43)*D$5</f>
        <v>3383.9796386181474</v>
      </c>
      <c r="D21" s="5">
        <v>0</v>
      </c>
      <c r="E21" s="5">
        <v>0</v>
      </c>
      <c r="G21" s="5">
        <f>(C14+C20)/SUM(D3:D5)</f>
        <v>1.7785309081970048E-2</v>
      </c>
      <c r="M21" s="5"/>
      <c r="S21" s="5" t="s">
        <v>139</v>
      </c>
      <c r="T21" s="4">
        <v>7484.9970000000003</v>
      </c>
      <c r="U21" s="4">
        <v>0</v>
      </c>
      <c r="V21" s="5">
        <v>0</v>
      </c>
      <c r="W21" s="4">
        <f t="shared" si="1"/>
        <v>7484.9970000000003</v>
      </c>
      <c r="AW21" s="6"/>
      <c r="AX21" s="6"/>
      <c r="AY21" s="6"/>
      <c r="AZ21" s="6"/>
      <c r="BA21" s="6"/>
    </row>
    <row r="22" spans="1:53" ht="15.75" customHeight="1" x14ac:dyDescent="0.15">
      <c r="A22" s="28" t="s">
        <v>127</v>
      </c>
      <c r="B22" s="4">
        <v>0</v>
      </c>
      <c r="C22" s="28">
        <f>3724.435/(773.751+7484.997+3724.435+4014.784+91.92+252.43)*D$5</f>
        <v>3139.2503819275903</v>
      </c>
      <c r="D22" s="5">
        <v>0</v>
      </c>
      <c r="E22" s="5">
        <v>0</v>
      </c>
      <c r="G22" s="8">
        <f>G21+G18</f>
        <v>0.58450260631123574</v>
      </c>
      <c r="M22" s="5"/>
      <c r="S22" s="5" t="s">
        <v>141</v>
      </c>
      <c r="T22" s="4">
        <v>4014.7840000000001</v>
      </c>
      <c r="U22" s="4">
        <v>0</v>
      </c>
      <c r="V22" s="5">
        <v>0</v>
      </c>
      <c r="W22" s="4">
        <f t="shared" si="1"/>
        <v>4014.7840000000001</v>
      </c>
      <c r="AW22" s="6"/>
      <c r="AX22" s="6"/>
      <c r="AY22" s="6"/>
      <c r="AZ22" s="6"/>
      <c r="BA22" s="6"/>
    </row>
    <row r="23" spans="1:53" ht="15.75" customHeight="1" x14ac:dyDescent="0.15">
      <c r="A23" s="28" t="s">
        <v>129</v>
      </c>
      <c r="B23" s="4">
        <v>0</v>
      </c>
      <c r="C23" s="28">
        <f>7484.997/(773.751+7484.997+3724.435+4014.784+91.92+252.43)*D$5</f>
        <v>6308.951476123726</v>
      </c>
      <c r="D23" s="5">
        <v>0</v>
      </c>
      <c r="E23" s="5">
        <v>0</v>
      </c>
      <c r="P23" s="6"/>
      <c r="Q23" s="6"/>
      <c r="R23" s="6"/>
      <c r="S23" s="1" t="s">
        <v>143</v>
      </c>
      <c r="T23" s="5">
        <v>0.33</v>
      </c>
      <c r="U23" s="4">
        <v>0</v>
      </c>
      <c r="V23" s="5">
        <v>0</v>
      </c>
      <c r="W23" s="5">
        <f t="shared" si="1"/>
        <v>0.33</v>
      </c>
      <c r="AW23" s="6"/>
      <c r="AX23" s="6"/>
      <c r="AY23" s="6"/>
      <c r="AZ23" s="6"/>
      <c r="BA23" s="6"/>
    </row>
    <row r="24" spans="1:53" ht="15.75" customHeight="1" x14ac:dyDescent="0.15">
      <c r="A24" s="28" t="s">
        <v>144</v>
      </c>
      <c r="B24" s="4">
        <v>0</v>
      </c>
      <c r="C24" s="28">
        <f>252.43/(773.751+7484.997+3724.435+4014.784+91.92+252.43)*D$5</f>
        <v>212.76810413122573</v>
      </c>
      <c r="D24" s="5">
        <v>0</v>
      </c>
      <c r="E24" s="5">
        <v>0</v>
      </c>
      <c r="S24" s="1"/>
      <c r="U24" s="4"/>
      <c r="AB24" s="1"/>
      <c r="AD24" s="4"/>
      <c r="AW24" s="6"/>
      <c r="AX24" s="6"/>
      <c r="AY24" s="6"/>
      <c r="AZ24" s="6"/>
      <c r="BA24" s="6"/>
    </row>
    <row r="25" spans="1:53" ht="15.75" customHeight="1" x14ac:dyDescent="0.15">
      <c r="A25" s="28" t="s">
        <v>145</v>
      </c>
      <c r="B25" s="4">
        <v>0</v>
      </c>
      <c r="C25" s="28">
        <f>91.92/(773.751+7484.997+3724.435+4014.784+91.92+252.43)*D$5</f>
        <v>77.477495272916329</v>
      </c>
      <c r="D25" s="5">
        <v>0</v>
      </c>
      <c r="E25" s="5">
        <v>0</v>
      </c>
      <c r="K25" s="4"/>
      <c r="L25" s="4"/>
      <c r="S25" s="1"/>
      <c r="AB25" s="1"/>
      <c r="AD25" s="4"/>
      <c r="AW25" s="6"/>
      <c r="AX25" s="6"/>
      <c r="AY25" s="6"/>
      <c r="AZ25" s="6"/>
      <c r="BA25" s="6"/>
    </row>
    <row r="26" spans="1:53" ht="15.75" customHeight="1" x14ac:dyDescent="0.15">
      <c r="A26" s="5" t="s">
        <v>50</v>
      </c>
      <c r="B26" s="4">
        <f>119997.6/(3551.685+722.475+119997.6+51013.395+40201.17+479761.215+1906.98)*C$6</f>
        <v>3610.7369588584984</v>
      </c>
      <c r="C26" s="4">
        <v>0</v>
      </c>
      <c r="D26" s="5">
        <v>0</v>
      </c>
      <c r="E26" s="4">
        <f t="shared" ref="E26:E68" si="8">B26</f>
        <v>3610.7369588584984</v>
      </c>
      <c r="F26" s="29"/>
      <c r="G26" s="29"/>
      <c r="K26" s="4"/>
      <c r="L26" s="4"/>
      <c r="AD26" s="4"/>
      <c r="AW26" s="6"/>
      <c r="AX26" s="6"/>
      <c r="AY26" s="6"/>
      <c r="AZ26" s="6"/>
      <c r="BA26" s="6"/>
    </row>
    <row r="27" spans="1:53" ht="15.75" customHeight="1" x14ac:dyDescent="0.15">
      <c r="A27" s="7" t="s">
        <v>146</v>
      </c>
      <c r="B27" s="4">
        <f>479761.215/(3551.685+722.475+119997.6+51013.395+40201.17+479761.215+1906.98)*C$6</f>
        <v>14436.05164126081</v>
      </c>
      <c r="C27" s="4">
        <v>0</v>
      </c>
      <c r="D27" s="5">
        <v>0</v>
      </c>
      <c r="E27" s="4">
        <f t="shared" si="8"/>
        <v>14436.05164126081</v>
      </c>
      <c r="F27" s="29"/>
      <c r="H27" s="25"/>
      <c r="K27" s="4"/>
      <c r="L27" s="4"/>
      <c r="AD27" s="4"/>
      <c r="AW27" s="6"/>
      <c r="AX27" s="6"/>
      <c r="AY27" s="6"/>
      <c r="AZ27" s="6"/>
      <c r="BA27" s="6"/>
    </row>
    <row r="28" spans="1:53" ht="15.75" customHeight="1" x14ac:dyDescent="0.15">
      <c r="A28" s="5" t="s">
        <v>147</v>
      </c>
      <c r="B28" s="4">
        <f>40201.17/(3551.685+722.475+119997.6+51013.395+40201.17+479761.215+1906.98)*C$6</f>
        <v>1209.6562790285263</v>
      </c>
      <c r="C28" s="4">
        <v>0</v>
      </c>
      <c r="D28" s="5">
        <v>0</v>
      </c>
      <c r="E28" s="4">
        <f t="shared" si="8"/>
        <v>1209.6562790285263</v>
      </c>
      <c r="F28" s="29"/>
      <c r="H28" s="25"/>
      <c r="K28" s="4"/>
      <c r="L28" s="4"/>
      <c r="AD28" s="4"/>
      <c r="AW28" s="6"/>
      <c r="AX28" s="6"/>
      <c r="AY28" s="6"/>
      <c r="AZ28" s="6"/>
      <c r="BA28" s="6"/>
    </row>
    <row r="29" spans="1:53" ht="15.75" customHeight="1" x14ac:dyDescent="0.15">
      <c r="A29" s="5" t="s">
        <v>148</v>
      </c>
      <c r="B29" s="4">
        <f>51013.395/(3551.685+722.475+119997.6+51013.395+40201.17+479761.215+1906.98)*C$6</f>
        <v>1534.9969559670135</v>
      </c>
      <c r="C29" s="4">
        <v>0</v>
      </c>
      <c r="D29" s="5">
        <v>0</v>
      </c>
      <c r="E29" s="4">
        <f t="shared" si="8"/>
        <v>1534.9969559670135</v>
      </c>
      <c r="F29" s="29"/>
      <c r="K29" s="4"/>
      <c r="L29" s="4"/>
      <c r="AW29" s="6"/>
      <c r="AX29" s="6"/>
      <c r="AY29" s="6"/>
      <c r="AZ29" s="6"/>
      <c r="BA29" s="6"/>
    </row>
    <row r="30" spans="1:53" ht="15.75" customHeight="1" x14ac:dyDescent="0.15">
      <c r="A30" s="5" t="s">
        <v>62</v>
      </c>
      <c r="B30" s="4">
        <f>3551.685/(3551.685+722.475+119997.6+51013.395+40201.17+479761.215+1906.98)*C$6</f>
        <v>106.87047320715868</v>
      </c>
      <c r="C30" s="4">
        <v>0</v>
      </c>
      <c r="D30" s="5">
        <v>0</v>
      </c>
      <c r="E30" s="4">
        <f t="shared" si="8"/>
        <v>106.87047320715868</v>
      </c>
      <c r="F30" s="29"/>
      <c r="AW30" s="6"/>
      <c r="AX30" s="6"/>
      <c r="AY30" s="6"/>
      <c r="AZ30" s="6"/>
      <c r="BA30" s="6"/>
    </row>
    <row r="31" spans="1:53" ht="15.75" customHeight="1" x14ac:dyDescent="0.15">
      <c r="A31" s="5" t="s">
        <v>149</v>
      </c>
      <c r="B31" s="4">
        <f>1906.98/(3551.685+722.475+119997.6+51013.395+40201.17+479761.215+1906.98)*C$6</f>
        <v>57.381174005179929</v>
      </c>
      <c r="C31" s="4">
        <v>0</v>
      </c>
      <c r="D31" s="5">
        <v>0</v>
      </c>
      <c r="E31" s="4">
        <f t="shared" si="8"/>
        <v>57.381174005179929</v>
      </c>
      <c r="F31" s="29"/>
      <c r="AW31" s="6"/>
      <c r="AX31" s="6"/>
      <c r="AY31" s="6"/>
      <c r="AZ31" s="6"/>
      <c r="BA31" s="6"/>
    </row>
    <row r="32" spans="1:53" ht="15.75" customHeight="1" x14ac:dyDescent="0.15">
      <c r="A32" s="5" t="s">
        <v>150</v>
      </c>
      <c r="B32" s="4">
        <f>722.475/(3551.685+722.475+119997.6+51013.395+40201.17+479761.215+1906.98)*C$6</f>
        <v>21.739327989487233</v>
      </c>
      <c r="C32" s="4">
        <v>0</v>
      </c>
      <c r="D32" s="5">
        <v>0</v>
      </c>
      <c r="E32" s="4">
        <f t="shared" si="8"/>
        <v>21.739327989487233</v>
      </c>
      <c r="F32" s="29"/>
      <c r="AW32" s="6"/>
      <c r="AX32" s="6"/>
      <c r="AY32" s="6"/>
      <c r="AZ32" s="6"/>
      <c r="BA32" s="6"/>
    </row>
    <row r="33" spans="1:53" ht="15.75" customHeight="1" x14ac:dyDescent="0.15">
      <c r="A33" s="5" t="s">
        <v>151</v>
      </c>
      <c r="B33" s="4">
        <f>9722.4/(9722.4+28081.125)*C7</f>
        <v>409.24296707753001</v>
      </c>
      <c r="C33" s="4">
        <v>0</v>
      </c>
      <c r="D33" s="5">
        <v>0</v>
      </c>
      <c r="E33" s="4">
        <f t="shared" si="8"/>
        <v>409.24296707753001</v>
      </c>
      <c r="F33" s="29"/>
      <c r="AW33" s="6"/>
      <c r="AX33" s="6"/>
      <c r="AY33" s="6"/>
      <c r="AZ33" s="6"/>
      <c r="BA33" s="6"/>
    </row>
    <row r="34" spans="1:53" ht="15.75" customHeight="1" x14ac:dyDescent="0.15">
      <c r="A34" s="5" t="s">
        <v>152</v>
      </c>
      <c r="B34" s="4">
        <f>28081.125/(9722.4+28081.125)*C7</f>
        <v>1182.0129714756652</v>
      </c>
      <c r="C34" s="4">
        <v>0</v>
      </c>
      <c r="D34" s="5">
        <v>0</v>
      </c>
      <c r="E34" s="4">
        <f t="shared" si="8"/>
        <v>1182.0129714756652</v>
      </c>
      <c r="F34" s="29"/>
      <c r="G34" s="29"/>
      <c r="L34" s="4"/>
      <c r="M34" s="4"/>
      <c r="N34" s="4"/>
      <c r="AW34" s="6"/>
      <c r="AX34" s="6"/>
      <c r="AY34" s="6"/>
      <c r="AZ34" s="6"/>
      <c r="BA34" s="6"/>
    </row>
    <row r="35" spans="1:53" ht="15.75" customHeight="1" x14ac:dyDescent="0.15">
      <c r="A35" s="5" t="s">
        <v>153</v>
      </c>
      <c r="B35" s="30">
        <f>0.33/(43981.816+0.33)*C8</f>
        <v>5.8352303323791878E-5</v>
      </c>
      <c r="C35" s="4">
        <v>0</v>
      </c>
      <c r="D35" s="5">
        <v>0</v>
      </c>
      <c r="E35" s="4">
        <f t="shared" si="8"/>
        <v>5.8352303323791878E-5</v>
      </c>
      <c r="F35" s="29"/>
      <c r="L35" s="4"/>
      <c r="M35" s="4"/>
      <c r="N35" s="4"/>
      <c r="AW35" s="6"/>
      <c r="AX35" s="6"/>
      <c r="AY35" s="6"/>
      <c r="AZ35" s="6"/>
      <c r="BA35" s="6"/>
    </row>
    <row r="36" spans="1:53" ht="15.75" customHeight="1" x14ac:dyDescent="0.15">
      <c r="A36" s="5" t="s">
        <v>154</v>
      </c>
      <c r="B36" s="4">
        <f>43981.816/(43981.816+0.33)*C8</f>
        <v>7.7770917211006134</v>
      </c>
      <c r="C36" s="4">
        <v>0</v>
      </c>
      <c r="D36" s="5">
        <v>0</v>
      </c>
      <c r="E36" s="4">
        <f t="shared" si="8"/>
        <v>7.7770917211006134</v>
      </c>
      <c r="F36" s="29"/>
      <c r="AW36" s="6"/>
      <c r="AX36" s="6"/>
      <c r="AY36" s="6"/>
      <c r="AZ36" s="6"/>
      <c r="BA36" s="6"/>
    </row>
    <row r="37" spans="1:53" ht="15.75" customHeight="1" x14ac:dyDescent="0.15">
      <c r="A37" s="5" t="s">
        <v>155</v>
      </c>
      <c r="B37" s="4">
        <f t="shared" ref="B37:B41" si="9">C9</f>
        <v>1516.9629414658209</v>
      </c>
      <c r="C37" s="4">
        <v>0</v>
      </c>
      <c r="D37" s="5">
        <v>0</v>
      </c>
      <c r="E37" s="4">
        <f t="shared" si="8"/>
        <v>1516.9629414658209</v>
      </c>
      <c r="F37" s="29"/>
      <c r="L37" s="4"/>
      <c r="M37" s="4"/>
      <c r="N37" s="4"/>
      <c r="AW37" s="6"/>
      <c r="AX37" s="6"/>
      <c r="AY37" s="6"/>
      <c r="AZ37" s="6"/>
      <c r="BA37" s="6"/>
    </row>
    <row r="38" spans="1:53" ht="15.75" customHeight="1" x14ac:dyDescent="0.15">
      <c r="A38" s="5" t="s">
        <v>156</v>
      </c>
      <c r="B38" s="4">
        <f t="shared" si="9"/>
        <v>3278.9933972586005</v>
      </c>
      <c r="C38" s="4">
        <v>0</v>
      </c>
      <c r="D38" s="5">
        <v>0</v>
      </c>
      <c r="E38" s="4">
        <f t="shared" si="8"/>
        <v>3278.9933972586005</v>
      </c>
      <c r="F38" s="29"/>
      <c r="L38" s="4"/>
      <c r="M38" s="4"/>
      <c r="N38" s="4"/>
      <c r="AW38" s="6"/>
      <c r="AX38" s="6"/>
      <c r="AY38" s="6"/>
      <c r="AZ38" s="6"/>
      <c r="BA38" s="6"/>
    </row>
    <row r="39" spans="1:53" ht="15.75" customHeight="1" x14ac:dyDescent="0.15">
      <c r="A39" s="5" t="s">
        <v>157</v>
      </c>
      <c r="B39" s="4">
        <f t="shared" si="9"/>
        <v>887.14341834793163</v>
      </c>
      <c r="C39" s="4">
        <v>0</v>
      </c>
      <c r="D39" s="5">
        <v>0</v>
      </c>
      <c r="E39" s="4">
        <f t="shared" si="8"/>
        <v>887.14341834793163</v>
      </c>
      <c r="F39" s="29"/>
      <c r="L39" s="4"/>
      <c r="M39" s="4"/>
      <c r="N39" s="4"/>
      <c r="AW39" s="6"/>
      <c r="AX39" s="6"/>
      <c r="AY39" s="6"/>
      <c r="AZ39" s="6"/>
      <c r="BA39" s="6"/>
    </row>
    <row r="40" spans="1:53" ht="15.75" customHeight="1" x14ac:dyDescent="0.15">
      <c r="A40" s="5" t="s">
        <v>158</v>
      </c>
      <c r="B40" s="4">
        <f t="shared" si="9"/>
        <v>513.70976240033042</v>
      </c>
      <c r="C40" s="4">
        <v>0</v>
      </c>
      <c r="D40" s="5">
        <v>0</v>
      </c>
      <c r="E40" s="4">
        <f t="shared" si="8"/>
        <v>513.70976240033042</v>
      </c>
      <c r="F40" s="29"/>
      <c r="G40" s="29"/>
      <c r="L40" s="4"/>
      <c r="M40" s="4"/>
      <c r="N40" s="4"/>
      <c r="AW40" s="6"/>
      <c r="AX40" s="6"/>
      <c r="AY40" s="6"/>
      <c r="AZ40" s="6"/>
      <c r="BA40" s="6"/>
    </row>
    <row r="41" spans="1:53" ht="15.75" customHeight="1" x14ac:dyDescent="0.15">
      <c r="A41" s="5" t="s">
        <v>159</v>
      </c>
      <c r="B41" s="4">
        <f t="shared" si="9"/>
        <v>53.27922883743409</v>
      </c>
      <c r="C41" s="4">
        <v>0</v>
      </c>
      <c r="D41" s="5">
        <v>0</v>
      </c>
      <c r="E41" s="4">
        <f t="shared" si="8"/>
        <v>53.27922883743409</v>
      </c>
      <c r="F41" s="29"/>
      <c r="L41" s="4"/>
      <c r="M41" s="4"/>
      <c r="N41" s="4"/>
      <c r="AW41" s="6"/>
      <c r="AX41" s="6"/>
      <c r="AY41" s="6"/>
      <c r="AZ41" s="6"/>
      <c r="BA41" s="6"/>
    </row>
    <row r="42" spans="1:53" ht="15.75" customHeight="1" x14ac:dyDescent="0.15">
      <c r="A42" s="5" t="s">
        <v>83</v>
      </c>
      <c r="B42" s="4">
        <f>119997.6/(3551.685+722.475+119997.6+51013.395+40201.17+479761.215+1906.98)*C$14</f>
        <v>43.459635169099698</v>
      </c>
      <c r="C42" s="4">
        <v>0</v>
      </c>
      <c r="D42" s="5">
        <v>0</v>
      </c>
      <c r="E42" s="4">
        <f t="shared" si="8"/>
        <v>43.459635169099698</v>
      </c>
      <c r="F42" s="29"/>
      <c r="L42" s="4"/>
      <c r="M42" s="4"/>
      <c r="N42" s="4"/>
      <c r="AW42" s="6"/>
      <c r="AX42" s="6"/>
      <c r="AY42" s="6"/>
      <c r="AZ42" s="6"/>
      <c r="BA42" s="6"/>
    </row>
    <row r="43" spans="1:53" ht="15.75" customHeight="1" x14ac:dyDescent="0.15">
      <c r="A43" s="7" t="s">
        <v>160</v>
      </c>
      <c r="B43" s="4">
        <f>479761.215/(3551.685+722.475+119997.6+51013.395+40201.17+479761.215+1906.98)*C$14</f>
        <v>173.75553654559761</v>
      </c>
      <c r="C43" s="4">
        <v>0</v>
      </c>
      <c r="D43" s="5">
        <v>0</v>
      </c>
      <c r="E43" s="4">
        <f t="shared" si="8"/>
        <v>173.75553654559761</v>
      </c>
      <c r="F43" s="29"/>
      <c r="L43" s="4"/>
      <c r="M43" s="4"/>
      <c r="N43" s="4"/>
      <c r="AW43" s="6"/>
      <c r="AX43" s="6"/>
      <c r="AY43" s="6"/>
      <c r="AZ43" s="6"/>
      <c r="BA43" s="6"/>
    </row>
    <row r="44" spans="1:53" ht="15.75" customHeight="1" x14ac:dyDescent="0.15">
      <c r="A44" s="5" t="s">
        <v>161</v>
      </c>
      <c r="B44" s="4">
        <f>40201.17/(3551.685+722.475+119997.6+51013.395+40201.17+479761.215+1906.98)*C$14</f>
        <v>14.559692706945436</v>
      </c>
      <c r="C44" s="4">
        <v>0</v>
      </c>
      <c r="D44" s="5">
        <v>0</v>
      </c>
      <c r="E44" s="4">
        <f t="shared" si="8"/>
        <v>14.559692706945436</v>
      </c>
      <c r="F44" s="29"/>
      <c r="L44" s="4"/>
      <c r="M44" s="4"/>
      <c r="N44" s="4"/>
    </row>
    <row r="45" spans="1:53" ht="13" x14ac:dyDescent="0.15">
      <c r="A45" s="5" t="s">
        <v>162</v>
      </c>
      <c r="B45" s="4">
        <f>51013.395/(3551.685+722.475+119997.6+51013.395+40201.17+479761.215+1906.98)*C$14</f>
        <v>18.475565639955921</v>
      </c>
      <c r="C45" s="4">
        <v>0</v>
      </c>
      <c r="D45" s="5">
        <v>0</v>
      </c>
      <c r="E45" s="4">
        <f t="shared" si="8"/>
        <v>18.475565639955921</v>
      </c>
      <c r="F45" s="33">
        <f>B52/B68</f>
        <v>5.2720380818078921E-2</v>
      </c>
      <c r="L45" s="4"/>
      <c r="M45" s="4"/>
      <c r="N45" s="4"/>
    </row>
    <row r="46" spans="1:53" ht="13" x14ac:dyDescent="0.15">
      <c r="A46" s="5" t="s">
        <v>95</v>
      </c>
      <c r="B46" s="4">
        <f>3551.685/(3551.685+722.475+119997.6+51013.395+40201.17+479761.215+1906.98)*C$14</f>
        <v>1.2863168457999481</v>
      </c>
      <c r="C46" s="4">
        <v>0</v>
      </c>
      <c r="D46" s="5">
        <v>0</v>
      </c>
      <c r="E46" s="4">
        <f t="shared" si="8"/>
        <v>1.2863168457999481</v>
      </c>
      <c r="F46" s="25"/>
      <c r="G46" s="29"/>
      <c r="L46" s="4"/>
      <c r="M46" s="4"/>
      <c r="N46" s="4"/>
    </row>
    <row r="47" spans="1:53" ht="13" x14ac:dyDescent="0.15">
      <c r="A47" s="5" t="s">
        <v>163</v>
      </c>
      <c r="B47" s="4">
        <f>1906.98/(3551.685+722.475+119997.6+51013.395+40201.17+479761.215+1906.98)*C$14</f>
        <v>0.69065260534185469</v>
      </c>
      <c r="C47" s="4">
        <v>0</v>
      </c>
      <c r="D47" s="5">
        <v>0</v>
      </c>
      <c r="E47" s="4">
        <f t="shared" si="8"/>
        <v>0.69065260534185469</v>
      </c>
      <c r="F47" s="29">
        <f>B54/B68</f>
        <v>1.8045630933369524E-2</v>
      </c>
      <c r="L47" s="4"/>
      <c r="M47" s="4"/>
      <c r="N47" s="4"/>
    </row>
    <row r="48" spans="1:53" ht="13" x14ac:dyDescent="0.15">
      <c r="A48" s="5" t="s">
        <v>164</v>
      </c>
      <c r="B48" s="4">
        <f>722.475/(3551.685+722.475+119997.6+51013.395+40201.17+479761.215+1906.98)*C$14</f>
        <v>0.2616593991779444</v>
      </c>
      <c r="C48" s="4">
        <v>0</v>
      </c>
      <c r="D48" s="5">
        <v>0</v>
      </c>
      <c r="E48" s="4">
        <f t="shared" si="8"/>
        <v>0.2616593991779444</v>
      </c>
      <c r="F48" s="29"/>
      <c r="L48" s="4"/>
      <c r="M48" s="4"/>
      <c r="N48" s="4"/>
    </row>
    <row r="49" spans="1:14" ht="13" x14ac:dyDescent="0.15">
      <c r="A49" s="5" t="s">
        <v>165</v>
      </c>
      <c r="B49" s="4">
        <f>0.33/(43981.816+0.33)*C15</f>
        <v>1.0207885842763866E-2</v>
      </c>
      <c r="C49" s="4">
        <v>0</v>
      </c>
      <c r="D49" s="5">
        <v>0</v>
      </c>
      <c r="E49" s="4">
        <f t="shared" si="8"/>
        <v>1.0207885842763866E-2</v>
      </c>
      <c r="F49" s="29"/>
      <c r="L49" s="4"/>
      <c r="M49" s="4"/>
      <c r="N49" s="4"/>
    </row>
    <row r="50" spans="1:14" ht="13" x14ac:dyDescent="0.15">
      <c r="A50" s="5" t="s">
        <v>136</v>
      </c>
      <c r="B50" s="4">
        <f>43981.816/(43981.816+0.33)*C15</f>
        <v>1360.4889602589249</v>
      </c>
      <c r="C50" s="4">
        <v>0</v>
      </c>
      <c r="D50" s="5">
        <v>0</v>
      </c>
      <c r="E50" s="4">
        <f t="shared" si="8"/>
        <v>1360.4889602589249</v>
      </c>
      <c r="F50" s="29"/>
      <c r="L50" s="4"/>
      <c r="M50" s="4"/>
      <c r="N50" s="4"/>
    </row>
    <row r="51" spans="1:14" ht="13" x14ac:dyDescent="0.15">
      <c r="A51" s="5" t="s">
        <v>166</v>
      </c>
      <c r="B51" s="4">
        <f t="shared" ref="B51:B54" si="10">C16</f>
        <v>1881.8741360629804</v>
      </c>
      <c r="C51" s="4">
        <v>0</v>
      </c>
      <c r="D51" s="5">
        <v>0</v>
      </c>
      <c r="E51" s="4">
        <f t="shared" si="8"/>
        <v>1881.8741360629804</v>
      </c>
      <c r="F51" s="29"/>
      <c r="L51" s="4"/>
      <c r="M51" s="4"/>
      <c r="N51" s="4"/>
    </row>
    <row r="52" spans="1:14" ht="13" x14ac:dyDescent="0.15">
      <c r="A52" s="5" t="s">
        <v>134</v>
      </c>
      <c r="B52" s="5">
        <f t="shared" si="10"/>
        <v>2681.6709011436628</v>
      </c>
      <c r="C52" s="4">
        <v>0</v>
      </c>
      <c r="D52" s="5">
        <v>0</v>
      </c>
      <c r="E52" s="5">
        <f t="shared" si="8"/>
        <v>2681.6709011436628</v>
      </c>
      <c r="F52" s="29"/>
      <c r="L52" s="4"/>
      <c r="M52" s="4"/>
      <c r="N52" s="4"/>
    </row>
    <row r="53" spans="1:14" ht="13" x14ac:dyDescent="0.15">
      <c r="A53" s="5" t="s">
        <v>167</v>
      </c>
      <c r="B53" s="5">
        <f t="shared" si="10"/>
        <v>1170.3226672603982</v>
      </c>
      <c r="C53" s="4">
        <v>0</v>
      </c>
      <c r="D53" s="5">
        <v>0</v>
      </c>
      <c r="E53" s="5">
        <f t="shared" si="8"/>
        <v>1170.3226672603982</v>
      </c>
      <c r="F53" s="29"/>
      <c r="L53" s="4"/>
      <c r="M53" s="4"/>
      <c r="N53" s="4"/>
    </row>
    <row r="54" spans="1:14" ht="13" x14ac:dyDescent="0.15">
      <c r="A54" s="5" t="s">
        <v>168</v>
      </c>
      <c r="B54" s="5">
        <f t="shared" si="10"/>
        <v>917.90769747627144</v>
      </c>
      <c r="C54" s="4">
        <v>0</v>
      </c>
      <c r="D54" s="5">
        <v>0</v>
      </c>
      <c r="E54" s="5">
        <f t="shared" si="8"/>
        <v>917.90769747627144</v>
      </c>
      <c r="F54" s="29"/>
      <c r="L54" s="4"/>
      <c r="M54" s="4"/>
      <c r="N54" s="4"/>
    </row>
    <row r="55" spans="1:14" ht="13" x14ac:dyDescent="0.15">
      <c r="A55" s="5" t="s">
        <v>85</v>
      </c>
      <c r="B55" s="4">
        <f>119997.6/(3551.685+722.475+119997.6+51013.395+40201.17+479761.215+1906.98)*C$20</f>
        <v>112.25618854436752</v>
      </c>
      <c r="C55" s="4">
        <v>0</v>
      </c>
      <c r="D55" s="5">
        <v>0</v>
      </c>
      <c r="E55" s="4">
        <f t="shared" si="8"/>
        <v>112.25618854436752</v>
      </c>
      <c r="F55" s="29"/>
      <c r="L55" s="4"/>
      <c r="M55" s="4"/>
      <c r="N55" s="4"/>
    </row>
    <row r="56" spans="1:14" ht="13" x14ac:dyDescent="0.15">
      <c r="A56" s="7" t="s">
        <v>169</v>
      </c>
      <c r="B56" s="4">
        <f>479761.215/(3551.685+722.475+119997.6+51013.395+40201.17+479761.215+1906.98)*C$20</f>
        <v>448.81035460138241</v>
      </c>
      <c r="C56" s="4">
        <v>0</v>
      </c>
      <c r="D56" s="5">
        <v>0</v>
      </c>
      <c r="E56" s="4">
        <f t="shared" si="8"/>
        <v>448.81035460138241</v>
      </c>
      <c r="F56" s="29"/>
      <c r="L56" s="4"/>
      <c r="M56" s="4"/>
      <c r="N56" s="4"/>
    </row>
    <row r="57" spans="1:14" ht="13" x14ac:dyDescent="0.15">
      <c r="A57" s="5" t="s">
        <v>170</v>
      </c>
      <c r="B57" s="4">
        <f>40201.17/(3551.685+722.475+119997.6+51013.395+40201.17+479761.215+1906.98)*C$20</f>
        <v>37.607669813597695</v>
      </c>
      <c r="C57" s="4">
        <v>0</v>
      </c>
      <c r="D57" s="5">
        <v>0</v>
      </c>
      <c r="E57" s="4">
        <f t="shared" si="8"/>
        <v>37.607669813597695</v>
      </c>
      <c r="F57" s="29"/>
      <c r="L57" s="4"/>
      <c r="M57" s="4"/>
      <c r="N57" s="4"/>
    </row>
    <row r="58" spans="1:14" ht="13" x14ac:dyDescent="0.15">
      <c r="A58" s="5" t="s">
        <v>171</v>
      </c>
      <c r="B58" s="4">
        <f>51013.395/(3551.685+722.475+119997.6+51013.395+40201.17+479761.215+1906.98)*C$20</f>
        <v>47.722365175705967</v>
      </c>
      <c r="C58" s="4">
        <v>0</v>
      </c>
      <c r="D58" s="5">
        <v>0</v>
      </c>
      <c r="E58" s="4">
        <f t="shared" si="8"/>
        <v>47.722365175705967</v>
      </c>
      <c r="F58" s="29"/>
      <c r="L58" s="4"/>
      <c r="M58" s="4"/>
      <c r="N58" s="4"/>
    </row>
    <row r="59" spans="1:14" ht="13" x14ac:dyDescent="0.15">
      <c r="A59" s="5" t="s">
        <v>98</v>
      </c>
      <c r="B59" s="4">
        <f>3551.685/(3551.685+722.475+119997.6+51013.395+40201.17+479761.215+1906.98)*C$20</f>
        <v>3.3225549595175399</v>
      </c>
      <c r="C59" s="4">
        <v>0</v>
      </c>
      <c r="D59" s="5">
        <v>0</v>
      </c>
      <c r="E59" s="4">
        <f t="shared" si="8"/>
        <v>3.3225549595175399</v>
      </c>
      <c r="F59" s="29"/>
      <c r="L59" s="4"/>
      <c r="M59" s="4"/>
      <c r="N59" s="4"/>
    </row>
    <row r="60" spans="1:14" ht="13" x14ac:dyDescent="0.15">
      <c r="A60" s="5" t="s">
        <v>172</v>
      </c>
      <c r="B60" s="4">
        <f>1906.98/(3551.685+722.475+119997.6+51013.395+40201.17+479761.215+1906.98)*C$20</f>
        <v>1.7839548993508034</v>
      </c>
      <c r="C60" s="4">
        <v>0</v>
      </c>
      <c r="D60" s="5">
        <v>0</v>
      </c>
      <c r="E60" s="4">
        <f t="shared" si="8"/>
        <v>1.7839548993508034</v>
      </c>
      <c r="F60" s="29"/>
      <c r="L60" s="4"/>
      <c r="M60" s="4"/>
      <c r="N60" s="4"/>
    </row>
    <row r="61" spans="1:14" ht="13" x14ac:dyDescent="0.15">
      <c r="A61" s="5" t="s">
        <v>173</v>
      </c>
      <c r="B61" s="4">
        <f>722.475/(3551.685+722.475+119997.6+51013.395+40201.17+479761.215+1906.98)*C$20</f>
        <v>0.67586593247358207</v>
      </c>
      <c r="C61" s="4">
        <v>0</v>
      </c>
      <c r="D61" s="5">
        <v>0</v>
      </c>
      <c r="E61" s="4">
        <f t="shared" si="8"/>
        <v>0.67586593247358207</v>
      </c>
      <c r="F61" s="29"/>
      <c r="L61" s="4"/>
      <c r="M61" s="4"/>
      <c r="N61" s="4"/>
    </row>
    <row r="62" spans="1:14" ht="13" x14ac:dyDescent="0.15">
      <c r="A62" s="5" t="s">
        <v>143</v>
      </c>
      <c r="B62" s="4">
        <f>0.33/(43981.816+0.33)*C21</f>
        <v>2.5390149920015016E-2</v>
      </c>
      <c r="C62" s="4">
        <v>0</v>
      </c>
      <c r="D62" s="5">
        <v>0</v>
      </c>
      <c r="E62" s="4">
        <f t="shared" si="8"/>
        <v>2.5390149920015016E-2</v>
      </c>
      <c r="F62" s="29"/>
      <c r="L62" s="4"/>
      <c r="M62" s="4"/>
      <c r="N62" s="4"/>
    </row>
    <row r="63" spans="1:14" ht="13" x14ac:dyDescent="0.15">
      <c r="A63" s="5" t="s">
        <v>141</v>
      </c>
      <c r="B63" s="4">
        <f>43981.816/(43981.816+0.33)*C21</f>
        <v>3383.9542484682274</v>
      </c>
      <c r="C63" s="4">
        <v>0</v>
      </c>
      <c r="D63" s="5">
        <v>0</v>
      </c>
      <c r="E63" s="4">
        <f t="shared" si="8"/>
        <v>3383.9542484682274</v>
      </c>
      <c r="F63" s="29"/>
      <c r="L63" s="4"/>
      <c r="M63" s="4"/>
      <c r="N63" s="4"/>
    </row>
    <row r="64" spans="1:14" ht="13" x14ac:dyDescent="0.15">
      <c r="A64" s="5" t="s">
        <v>174</v>
      </c>
      <c r="B64" s="5">
        <f t="shared" ref="B64:B67" si="11">C22</f>
        <v>3139.2503819275903</v>
      </c>
      <c r="C64" s="4">
        <v>0</v>
      </c>
      <c r="D64" s="5">
        <v>0</v>
      </c>
      <c r="E64" s="5">
        <f t="shared" si="8"/>
        <v>3139.2503819275903</v>
      </c>
      <c r="F64" s="29"/>
      <c r="L64" s="4"/>
      <c r="M64" s="4"/>
      <c r="N64" s="4"/>
    </row>
    <row r="65" spans="1:14" ht="13" x14ac:dyDescent="0.15">
      <c r="A65" s="5" t="s">
        <v>175</v>
      </c>
      <c r="B65" s="5">
        <f t="shared" si="11"/>
        <v>6308.951476123726</v>
      </c>
      <c r="C65" s="4">
        <v>0</v>
      </c>
      <c r="D65" s="5">
        <v>0</v>
      </c>
      <c r="E65" s="5">
        <f t="shared" si="8"/>
        <v>6308.951476123726</v>
      </c>
      <c r="F65" s="29"/>
      <c r="L65" s="4"/>
      <c r="M65" s="4"/>
      <c r="N65" s="4"/>
    </row>
    <row r="66" spans="1:14" ht="13" x14ac:dyDescent="0.15">
      <c r="A66" s="5" t="s">
        <v>176</v>
      </c>
      <c r="B66" s="5">
        <f t="shared" si="11"/>
        <v>212.76810413122573</v>
      </c>
      <c r="C66" s="4">
        <v>0</v>
      </c>
      <c r="D66" s="5">
        <v>0</v>
      </c>
      <c r="E66" s="5">
        <f t="shared" si="8"/>
        <v>212.76810413122573</v>
      </c>
      <c r="F66" s="29"/>
      <c r="L66" s="4"/>
      <c r="M66" s="4"/>
      <c r="N66" s="4"/>
    </row>
    <row r="67" spans="1:14" ht="13" x14ac:dyDescent="0.15">
      <c r="A67" s="5" t="s">
        <v>177</v>
      </c>
      <c r="B67" s="5">
        <f t="shared" si="11"/>
        <v>77.477495272916329</v>
      </c>
      <c r="C67" s="4">
        <v>0</v>
      </c>
      <c r="D67" s="5">
        <v>0</v>
      </c>
      <c r="E67" s="5">
        <f t="shared" si="8"/>
        <v>77.477495272916329</v>
      </c>
      <c r="F67" s="29"/>
      <c r="L67" s="4"/>
      <c r="M67" s="4"/>
      <c r="N67" s="4"/>
    </row>
    <row r="68" spans="1:14" ht="13" x14ac:dyDescent="0.15">
      <c r="B68" s="25">
        <f>SUM(B26:B67)</f>
        <v>50865.924326253386</v>
      </c>
      <c r="E68" s="5">
        <f t="shared" si="8"/>
        <v>50865.924326253386</v>
      </c>
      <c r="L68" s="4"/>
      <c r="M68" s="4"/>
      <c r="N68" s="4"/>
    </row>
    <row r="69" spans="1:14" ht="13" x14ac:dyDescent="0.15">
      <c r="L69" s="4"/>
      <c r="M69" s="4"/>
      <c r="N69" s="4"/>
    </row>
    <row r="70" spans="1:14" ht="13" x14ac:dyDescent="0.15">
      <c r="L70" s="4"/>
      <c r="M70" s="4"/>
      <c r="N70" s="4"/>
    </row>
    <row r="71" spans="1:14" ht="13" x14ac:dyDescent="0.15">
      <c r="L71" s="4"/>
      <c r="M71" s="4"/>
      <c r="N71" s="4"/>
    </row>
    <row r="72" spans="1:14" ht="13" x14ac:dyDescent="0.15">
      <c r="L72" s="4"/>
      <c r="M72" s="4"/>
      <c r="N72" s="4"/>
    </row>
    <row r="73" spans="1:14" ht="13" x14ac:dyDescent="0.15">
      <c r="L73" s="4"/>
      <c r="M73" s="4"/>
      <c r="N73" s="4"/>
    </row>
    <row r="74" spans="1:14" ht="13" x14ac:dyDescent="0.15">
      <c r="L74" s="4"/>
      <c r="M74" s="4"/>
      <c r="N74" s="4"/>
    </row>
    <row r="75" spans="1:14" ht="13" x14ac:dyDescent="0.15">
      <c r="L75" s="4"/>
      <c r="M75" s="4"/>
      <c r="N75" s="4"/>
    </row>
    <row r="76" spans="1:14" ht="13" x14ac:dyDescent="0.15">
      <c r="L76" s="4"/>
      <c r="M76" s="4"/>
      <c r="N76" s="4"/>
    </row>
    <row r="77" spans="1:14" ht="13" x14ac:dyDescent="0.15">
      <c r="L77" s="4"/>
      <c r="M77" s="4"/>
      <c r="N77" s="4"/>
    </row>
    <row r="78" spans="1:14" ht="13" x14ac:dyDescent="0.15">
      <c r="L78" s="4"/>
      <c r="M78" s="4"/>
      <c r="N78" s="4"/>
    </row>
    <row r="79" spans="1:14" ht="13" x14ac:dyDescent="0.15">
      <c r="L79" s="4"/>
      <c r="M79" s="4"/>
      <c r="N79" s="4"/>
    </row>
    <row r="80" spans="1:14" ht="13" x14ac:dyDescent="0.15">
      <c r="L80" s="4"/>
      <c r="M80" s="4"/>
      <c r="N80" s="4"/>
    </row>
    <row r="81" spans="12:14" ht="13" x14ac:dyDescent="0.15">
      <c r="L81" s="4"/>
      <c r="M81" s="4"/>
      <c r="N81" s="4"/>
    </row>
    <row r="82" spans="12:14" ht="13" x14ac:dyDescent="0.15">
      <c r="L82" s="4"/>
      <c r="M82" s="4"/>
      <c r="N82" s="4"/>
    </row>
    <row r="83" spans="12:14" ht="13" x14ac:dyDescent="0.15">
      <c r="L83" s="4"/>
      <c r="M83" s="4"/>
      <c r="N83" s="4"/>
    </row>
    <row r="84" spans="12:14" ht="13" x14ac:dyDescent="0.15">
      <c r="L84" s="4"/>
      <c r="M84" s="4"/>
      <c r="N84" s="4"/>
    </row>
    <row r="85" spans="12:14" ht="13" x14ac:dyDescent="0.15">
      <c r="L85" s="4"/>
      <c r="M85" s="4"/>
      <c r="N85" s="4"/>
    </row>
    <row r="86" spans="12:14" ht="13" x14ac:dyDescent="0.15">
      <c r="L86" s="4"/>
      <c r="M86" s="4"/>
      <c r="N86" s="4"/>
    </row>
    <row r="87" spans="12:14" ht="13" x14ac:dyDescent="0.15">
      <c r="L87" s="4"/>
      <c r="M87" s="4"/>
      <c r="N87" s="4"/>
    </row>
    <row r="88" spans="12:14" ht="13" x14ac:dyDescent="0.15">
      <c r="L88" s="4"/>
      <c r="M88" s="4"/>
      <c r="N88" s="4"/>
    </row>
    <row r="89" spans="12:14" ht="13" x14ac:dyDescent="0.15">
      <c r="L89" s="4"/>
      <c r="M89" s="4"/>
      <c r="N89" s="4"/>
    </row>
    <row r="90" spans="12:14" ht="13" x14ac:dyDescent="0.15">
      <c r="L90" s="4"/>
      <c r="M90" s="4"/>
      <c r="N90" s="4"/>
    </row>
    <row r="91" spans="12:14" ht="13" x14ac:dyDescent="0.15">
      <c r="L91" s="4"/>
      <c r="M91" s="4"/>
      <c r="N91" s="4"/>
    </row>
    <row r="92" spans="12:14" ht="13" x14ac:dyDescent="0.15">
      <c r="L92" s="4"/>
      <c r="M92" s="4"/>
      <c r="N92" s="4"/>
    </row>
    <row r="93" spans="12:14" ht="13" x14ac:dyDescent="0.15">
      <c r="L93" s="4"/>
      <c r="M93" s="4"/>
      <c r="N93" s="4"/>
    </row>
    <row r="94" spans="12:14" ht="13" x14ac:dyDescent="0.15">
      <c r="L94" s="4"/>
      <c r="M94" s="4"/>
      <c r="N94" s="4"/>
    </row>
    <row r="95" spans="12:14" ht="13" x14ac:dyDescent="0.15">
      <c r="L95" s="4"/>
      <c r="M95" s="4"/>
      <c r="N95" s="4"/>
    </row>
    <row r="96" spans="12:14" ht="13" x14ac:dyDescent="0.15">
      <c r="L96" s="4"/>
      <c r="M96" s="4"/>
      <c r="N96" s="4"/>
    </row>
    <row r="97" spans="12:14" ht="13" x14ac:dyDescent="0.15">
      <c r="L97" s="4"/>
      <c r="M97" s="4"/>
      <c r="N97" s="4"/>
    </row>
    <row r="98" spans="12:14" ht="13" x14ac:dyDescent="0.15">
      <c r="L98" s="4"/>
      <c r="M98" s="4"/>
      <c r="N98" s="4"/>
    </row>
    <row r="99" spans="12:14" ht="13" x14ac:dyDescent="0.15">
      <c r="L99" s="4"/>
      <c r="M99" s="4"/>
      <c r="N99" s="4"/>
    </row>
    <row r="100" spans="12:14" ht="13" x14ac:dyDescent="0.15">
      <c r="L100" s="4"/>
      <c r="M100" s="4"/>
      <c r="N100" s="4"/>
    </row>
    <row r="101" spans="12:14" ht="13" x14ac:dyDescent="0.15">
      <c r="L101" s="4"/>
      <c r="M101" s="4"/>
      <c r="N101" s="4"/>
    </row>
    <row r="102" spans="12:14" ht="13" x14ac:dyDescent="0.15">
      <c r="L102" s="4"/>
      <c r="M102" s="4"/>
      <c r="N102" s="4"/>
    </row>
    <row r="103" spans="12:14" ht="13" x14ac:dyDescent="0.15">
      <c r="L103" s="4"/>
      <c r="M103" s="4"/>
      <c r="N103" s="4"/>
    </row>
    <row r="104" spans="12:14" ht="13" x14ac:dyDescent="0.15">
      <c r="L104" s="4"/>
      <c r="M104" s="4"/>
      <c r="N104" s="4"/>
    </row>
    <row r="105" spans="12:14" ht="13" x14ac:dyDescent="0.15">
      <c r="L105" s="4"/>
      <c r="M105" s="4"/>
      <c r="N105" s="4"/>
    </row>
    <row r="106" spans="12:14" ht="13" x14ac:dyDescent="0.15">
      <c r="L106" s="4"/>
      <c r="M106" s="4"/>
      <c r="N106" s="4"/>
    </row>
    <row r="107" spans="12:14" ht="13" x14ac:dyDescent="0.15">
      <c r="L107" s="4"/>
      <c r="M107" s="4"/>
      <c r="N107" s="4"/>
    </row>
    <row r="108" spans="12:14" ht="13" x14ac:dyDescent="0.15">
      <c r="L108" s="4"/>
      <c r="M108" s="4"/>
      <c r="N108" s="4"/>
    </row>
    <row r="109" spans="12:14" ht="13" x14ac:dyDescent="0.15">
      <c r="L109" s="4"/>
      <c r="M109" s="4"/>
      <c r="N109" s="4"/>
    </row>
    <row r="110" spans="12:14" ht="13" x14ac:dyDescent="0.15">
      <c r="L110" s="4"/>
      <c r="M110" s="4"/>
      <c r="N110" s="4"/>
    </row>
    <row r="111" spans="12:14" ht="13" x14ac:dyDescent="0.15">
      <c r="L111" s="4"/>
      <c r="M111" s="4"/>
      <c r="N111" s="4"/>
    </row>
    <row r="112" spans="12:14" ht="13" x14ac:dyDescent="0.15">
      <c r="L112" s="4"/>
      <c r="M112" s="4"/>
      <c r="N112" s="4"/>
    </row>
    <row r="113" spans="12:14" ht="13" x14ac:dyDescent="0.15">
      <c r="L113" s="4"/>
      <c r="M113" s="4"/>
      <c r="N113" s="4"/>
    </row>
    <row r="114" spans="12:14" ht="13" x14ac:dyDescent="0.15">
      <c r="L114" s="4"/>
      <c r="M114" s="4"/>
      <c r="N114" s="4"/>
    </row>
    <row r="115" spans="12:14" ht="13" x14ac:dyDescent="0.15">
      <c r="L115" s="4"/>
      <c r="M115" s="4"/>
      <c r="N115" s="4"/>
    </row>
    <row r="116" spans="12:14" ht="13" x14ac:dyDescent="0.15">
      <c r="L116" s="4"/>
      <c r="M116" s="4"/>
      <c r="N116" s="4"/>
    </row>
    <row r="117" spans="12:14" ht="13" x14ac:dyDescent="0.15">
      <c r="L117" s="4"/>
      <c r="M117" s="4"/>
      <c r="N117" s="4"/>
    </row>
    <row r="118" spans="12:14" ht="13" x14ac:dyDescent="0.15">
      <c r="L118" s="4"/>
      <c r="M118" s="4"/>
      <c r="N118" s="4"/>
    </row>
    <row r="119" spans="12:14" ht="13" x14ac:dyDescent="0.15">
      <c r="L119" s="4"/>
      <c r="M119" s="4"/>
      <c r="N119" s="4"/>
    </row>
    <row r="120" spans="12:14" ht="13" x14ac:dyDescent="0.15">
      <c r="L120" s="4"/>
      <c r="M120" s="4"/>
      <c r="N120" s="4"/>
    </row>
    <row r="121" spans="12:14" ht="13" x14ac:dyDescent="0.15">
      <c r="L121" s="4"/>
      <c r="M121" s="4"/>
      <c r="N121" s="4"/>
    </row>
    <row r="122" spans="12:14" ht="13" x14ac:dyDescent="0.15">
      <c r="L122" s="4"/>
      <c r="M122" s="4"/>
      <c r="N122" s="4"/>
    </row>
    <row r="123" spans="12:14" ht="13" x14ac:dyDescent="0.15">
      <c r="L123" s="4"/>
      <c r="M123" s="4"/>
      <c r="N123" s="4"/>
    </row>
    <row r="124" spans="12:14" ht="13" x14ac:dyDescent="0.15">
      <c r="L124" s="4"/>
      <c r="M124" s="4"/>
      <c r="N124" s="4"/>
    </row>
    <row r="125" spans="12:14" ht="13" x14ac:dyDescent="0.15">
      <c r="L125" s="4"/>
      <c r="M125" s="4"/>
      <c r="N125" s="4"/>
    </row>
    <row r="126" spans="12:14" ht="13" x14ac:dyDescent="0.15">
      <c r="L126" s="4"/>
      <c r="M126" s="4"/>
      <c r="N126" s="4"/>
    </row>
    <row r="127" spans="12:14" ht="13" x14ac:dyDescent="0.15">
      <c r="L127" s="4"/>
      <c r="M127" s="4"/>
      <c r="N127" s="4"/>
    </row>
    <row r="128" spans="12:14" ht="13" x14ac:dyDescent="0.15">
      <c r="L128" s="4"/>
      <c r="M128" s="4"/>
      <c r="N128" s="4"/>
    </row>
    <row r="129" spans="12:14" ht="13" x14ac:dyDescent="0.15">
      <c r="L129" s="4"/>
      <c r="M129" s="4"/>
      <c r="N129" s="4"/>
    </row>
    <row r="130" spans="12:14" ht="13" x14ac:dyDescent="0.15">
      <c r="L130" s="4"/>
      <c r="M130" s="4"/>
      <c r="N130" s="4"/>
    </row>
    <row r="131" spans="12:14" ht="13" x14ac:dyDescent="0.15">
      <c r="L131" s="4"/>
      <c r="M131" s="4"/>
      <c r="N131" s="4"/>
    </row>
    <row r="132" spans="12:14" ht="13" x14ac:dyDescent="0.15">
      <c r="L132" s="4"/>
      <c r="M132" s="4"/>
      <c r="N132" s="4"/>
    </row>
    <row r="133" spans="12:14" ht="13" x14ac:dyDescent="0.15">
      <c r="L133" s="4"/>
      <c r="M133" s="4"/>
      <c r="N133" s="4"/>
    </row>
    <row r="134" spans="12:14" ht="13" x14ac:dyDescent="0.15">
      <c r="L134" s="4"/>
      <c r="M134" s="4"/>
      <c r="N134" s="4"/>
    </row>
    <row r="135" spans="12:14" ht="13" x14ac:dyDescent="0.15">
      <c r="L135" s="4"/>
      <c r="M135" s="4"/>
      <c r="N135" s="4"/>
    </row>
    <row r="136" spans="12:14" ht="13" x14ac:dyDescent="0.15">
      <c r="L136" s="4"/>
      <c r="M136" s="4"/>
      <c r="N136" s="4"/>
    </row>
    <row r="137" spans="12:14" ht="13" x14ac:dyDescent="0.15">
      <c r="L137" s="4"/>
      <c r="M137" s="4"/>
      <c r="N137" s="4"/>
    </row>
    <row r="138" spans="12:14" ht="13" x14ac:dyDescent="0.15">
      <c r="L138" s="4"/>
      <c r="M138" s="4"/>
      <c r="N138" s="4"/>
    </row>
    <row r="139" spans="12:14" ht="13" x14ac:dyDescent="0.15">
      <c r="L139" s="4"/>
      <c r="M139" s="4"/>
      <c r="N139" s="4"/>
    </row>
    <row r="140" spans="12:14" ht="13" x14ac:dyDescent="0.15">
      <c r="L140" s="4"/>
      <c r="M140" s="4"/>
      <c r="N140" s="4"/>
    </row>
    <row r="141" spans="12:14" ht="13" x14ac:dyDescent="0.15">
      <c r="L141" s="4"/>
      <c r="M141" s="4"/>
      <c r="N141" s="4"/>
    </row>
    <row r="142" spans="12:14" ht="13" x14ac:dyDescent="0.15">
      <c r="L142" s="4"/>
      <c r="M142" s="4"/>
      <c r="N142" s="4"/>
    </row>
    <row r="143" spans="12:14" ht="13" x14ac:dyDescent="0.15">
      <c r="L143" s="4"/>
      <c r="M143" s="4"/>
      <c r="N143" s="4"/>
    </row>
    <row r="144" spans="12:14" ht="13" x14ac:dyDescent="0.15">
      <c r="L144" s="4"/>
      <c r="M144" s="4"/>
      <c r="N144" s="4"/>
    </row>
    <row r="145" spans="12:14" ht="13" x14ac:dyDescent="0.15">
      <c r="L145" s="4"/>
      <c r="M145" s="4"/>
      <c r="N145" s="4"/>
    </row>
    <row r="146" spans="12:14" ht="13" x14ac:dyDescent="0.15">
      <c r="L146" s="4"/>
      <c r="M146" s="4"/>
      <c r="N146" s="4"/>
    </row>
    <row r="147" spans="12:14" ht="13" x14ac:dyDescent="0.15">
      <c r="L147" s="4"/>
      <c r="M147" s="4"/>
      <c r="N147" s="4"/>
    </row>
    <row r="148" spans="12:14" ht="13" x14ac:dyDescent="0.15">
      <c r="L148" s="4"/>
      <c r="M148" s="4"/>
      <c r="N148" s="4"/>
    </row>
    <row r="149" spans="12:14" ht="13" x14ac:dyDescent="0.15">
      <c r="L149" s="4"/>
      <c r="M149" s="4"/>
      <c r="N149" s="4"/>
    </row>
    <row r="150" spans="12:14" ht="13" x14ac:dyDescent="0.15">
      <c r="L150" s="4"/>
      <c r="M150" s="4"/>
      <c r="N150" s="4"/>
    </row>
    <row r="151" spans="12:14" ht="13" x14ac:dyDescent="0.15">
      <c r="L151" s="4"/>
      <c r="M151" s="4"/>
      <c r="N151" s="4"/>
    </row>
    <row r="152" spans="12:14" ht="13" x14ac:dyDescent="0.15">
      <c r="L152" s="4"/>
      <c r="M152" s="4"/>
      <c r="N152" s="4"/>
    </row>
    <row r="153" spans="12:14" ht="13" x14ac:dyDescent="0.15">
      <c r="L153" s="4"/>
      <c r="M153" s="4"/>
      <c r="N153" s="4"/>
    </row>
    <row r="154" spans="12:14" ht="13" x14ac:dyDescent="0.15">
      <c r="L154" s="4"/>
      <c r="M154" s="4"/>
      <c r="N154" s="4"/>
    </row>
    <row r="155" spans="12:14" ht="13" x14ac:dyDescent="0.15">
      <c r="L155" s="4"/>
      <c r="M155" s="4"/>
      <c r="N155" s="4"/>
    </row>
    <row r="156" spans="12:14" ht="13" x14ac:dyDescent="0.15">
      <c r="L156" s="4"/>
      <c r="M156" s="4"/>
      <c r="N156" s="4"/>
    </row>
    <row r="157" spans="12:14" ht="13" x14ac:dyDescent="0.15">
      <c r="L157" s="4"/>
      <c r="M157" s="4"/>
      <c r="N157" s="4"/>
    </row>
    <row r="158" spans="12:14" ht="13" x14ac:dyDescent="0.15">
      <c r="L158" s="4"/>
      <c r="M158" s="4"/>
      <c r="N158" s="4"/>
    </row>
    <row r="159" spans="12:14" ht="13" x14ac:dyDescent="0.15">
      <c r="L159" s="4"/>
      <c r="M159" s="4"/>
      <c r="N159" s="4"/>
    </row>
    <row r="160" spans="12:14" ht="13" x14ac:dyDescent="0.15">
      <c r="L160" s="4"/>
      <c r="M160" s="4"/>
      <c r="N160" s="4"/>
    </row>
    <row r="161" spans="12:14" ht="13" x14ac:dyDescent="0.15">
      <c r="L161" s="4"/>
      <c r="M161" s="4"/>
      <c r="N161" s="4"/>
    </row>
    <row r="162" spans="12:14" ht="13" x14ac:dyDescent="0.15">
      <c r="L162" s="4"/>
      <c r="M162" s="4"/>
      <c r="N162" s="4"/>
    </row>
    <row r="163" spans="12:14" ht="13" x14ac:dyDescent="0.15">
      <c r="L163" s="4"/>
      <c r="M163" s="4"/>
      <c r="N163" s="4"/>
    </row>
    <row r="164" spans="12:14" ht="13" x14ac:dyDescent="0.15">
      <c r="L164" s="4"/>
      <c r="M164" s="4"/>
      <c r="N164" s="4"/>
    </row>
    <row r="165" spans="12:14" ht="13" x14ac:dyDescent="0.15">
      <c r="L165" s="4"/>
      <c r="M165" s="4"/>
      <c r="N165" s="4"/>
    </row>
    <row r="166" spans="12:14" ht="13" x14ac:dyDescent="0.15">
      <c r="L166" s="4"/>
      <c r="M166" s="4"/>
      <c r="N166" s="4"/>
    </row>
    <row r="167" spans="12:14" ht="13" x14ac:dyDescent="0.15">
      <c r="L167" s="4"/>
      <c r="M167" s="4"/>
      <c r="N167" s="4"/>
    </row>
    <row r="168" spans="12:14" ht="13" x14ac:dyDescent="0.15">
      <c r="L168" s="4"/>
      <c r="M168" s="4"/>
      <c r="N168" s="4"/>
    </row>
    <row r="169" spans="12:14" ht="13" x14ac:dyDescent="0.15">
      <c r="L169" s="4"/>
      <c r="M169" s="4"/>
      <c r="N169" s="4"/>
    </row>
    <row r="170" spans="12:14" ht="13" x14ac:dyDescent="0.15">
      <c r="L170" s="4"/>
      <c r="M170" s="4"/>
      <c r="N170" s="4"/>
    </row>
    <row r="171" spans="12:14" ht="13" x14ac:dyDescent="0.15">
      <c r="L171" s="4"/>
      <c r="M171" s="4"/>
      <c r="N171" s="4"/>
    </row>
    <row r="172" spans="12:14" ht="13" x14ac:dyDescent="0.15">
      <c r="L172" s="4"/>
      <c r="M172" s="4"/>
      <c r="N172" s="4"/>
    </row>
    <row r="173" spans="12:14" ht="13" x14ac:dyDescent="0.15">
      <c r="L173" s="4"/>
      <c r="M173" s="4"/>
      <c r="N173" s="4"/>
    </row>
    <row r="174" spans="12:14" ht="13" x14ac:dyDescent="0.15">
      <c r="L174" s="4"/>
      <c r="M174" s="4"/>
      <c r="N174" s="4"/>
    </row>
    <row r="175" spans="12:14" ht="13" x14ac:dyDescent="0.15">
      <c r="L175" s="4"/>
      <c r="M175" s="4"/>
      <c r="N175" s="4"/>
    </row>
    <row r="176" spans="12:14" ht="13" x14ac:dyDescent="0.15">
      <c r="L176" s="4"/>
      <c r="M176" s="4"/>
      <c r="N176" s="4"/>
    </row>
    <row r="177" spans="12:14" ht="13" x14ac:dyDescent="0.15">
      <c r="L177" s="4"/>
      <c r="M177" s="4"/>
      <c r="N177" s="4"/>
    </row>
    <row r="178" spans="12:14" ht="13" x14ac:dyDescent="0.15">
      <c r="L178" s="4"/>
      <c r="M178" s="4"/>
      <c r="N178" s="4"/>
    </row>
    <row r="179" spans="12:14" ht="13" x14ac:dyDescent="0.15">
      <c r="L179" s="4"/>
      <c r="M179" s="4"/>
      <c r="N179" s="4"/>
    </row>
    <row r="180" spans="12:14" ht="13" x14ac:dyDescent="0.15">
      <c r="L180" s="4"/>
      <c r="M180" s="4"/>
      <c r="N180" s="4"/>
    </row>
    <row r="181" spans="12:14" ht="13" x14ac:dyDescent="0.15">
      <c r="L181" s="4"/>
      <c r="M181" s="4"/>
      <c r="N181" s="4"/>
    </row>
    <row r="182" spans="12:14" ht="13" x14ac:dyDescent="0.15">
      <c r="L182" s="4"/>
      <c r="M182" s="4"/>
      <c r="N182" s="4"/>
    </row>
    <row r="183" spans="12:14" ht="13" x14ac:dyDescent="0.15">
      <c r="L183" s="4"/>
      <c r="M183" s="4"/>
      <c r="N183" s="4"/>
    </row>
    <row r="184" spans="12:14" ht="13" x14ac:dyDescent="0.15">
      <c r="L184" s="4"/>
      <c r="M184" s="4"/>
      <c r="N184" s="4"/>
    </row>
    <row r="185" spans="12:14" ht="13" x14ac:dyDescent="0.15">
      <c r="L185" s="4"/>
      <c r="M185" s="4"/>
      <c r="N185" s="4"/>
    </row>
    <row r="186" spans="12:14" ht="13" x14ac:dyDescent="0.15">
      <c r="L186" s="4"/>
      <c r="M186" s="4"/>
      <c r="N186" s="4"/>
    </row>
    <row r="187" spans="12:14" ht="13" x14ac:dyDescent="0.15">
      <c r="L187" s="4"/>
      <c r="M187" s="4"/>
      <c r="N187" s="4"/>
    </row>
    <row r="188" spans="12:14" ht="13" x14ac:dyDescent="0.15">
      <c r="L188" s="4"/>
      <c r="M188" s="4"/>
      <c r="N188" s="4"/>
    </row>
    <row r="189" spans="12:14" ht="13" x14ac:dyDescent="0.15">
      <c r="L189" s="4"/>
      <c r="M189" s="4"/>
      <c r="N189" s="4"/>
    </row>
    <row r="190" spans="12:14" ht="13" x14ac:dyDescent="0.15">
      <c r="L190" s="4"/>
      <c r="M190" s="4"/>
      <c r="N190" s="4"/>
    </row>
    <row r="191" spans="12:14" ht="13" x14ac:dyDescent="0.15">
      <c r="L191" s="4"/>
      <c r="M191" s="4"/>
      <c r="N191" s="4"/>
    </row>
    <row r="192" spans="12:14" ht="13" x14ac:dyDescent="0.15">
      <c r="L192" s="4"/>
      <c r="M192" s="4"/>
      <c r="N192" s="4"/>
    </row>
    <row r="193" spans="12:14" ht="13" x14ac:dyDescent="0.15">
      <c r="L193" s="4"/>
      <c r="M193" s="4"/>
      <c r="N193" s="4"/>
    </row>
    <row r="194" spans="12:14" ht="13" x14ac:dyDescent="0.15">
      <c r="L194" s="4"/>
      <c r="M194" s="4"/>
      <c r="N194" s="4"/>
    </row>
    <row r="195" spans="12:14" ht="13" x14ac:dyDescent="0.15">
      <c r="L195" s="4"/>
      <c r="M195" s="4"/>
      <c r="N195" s="4"/>
    </row>
    <row r="196" spans="12:14" ht="13" x14ac:dyDescent="0.15">
      <c r="L196" s="4"/>
      <c r="M196" s="4"/>
      <c r="N196" s="4"/>
    </row>
    <row r="197" spans="12:14" ht="13" x14ac:dyDescent="0.15">
      <c r="L197" s="4"/>
      <c r="M197" s="4"/>
      <c r="N197" s="4"/>
    </row>
    <row r="198" spans="12:14" ht="13" x14ac:dyDescent="0.15">
      <c r="L198" s="4"/>
      <c r="M198" s="4"/>
      <c r="N198" s="4"/>
    </row>
    <row r="199" spans="12:14" ht="13" x14ac:dyDescent="0.15">
      <c r="L199" s="4"/>
      <c r="M199" s="4"/>
      <c r="N199" s="4"/>
    </row>
    <row r="200" spans="12:14" ht="13" x14ac:dyDescent="0.15">
      <c r="L200" s="4"/>
      <c r="M200" s="4"/>
      <c r="N200" s="4"/>
    </row>
    <row r="201" spans="12:14" ht="13" x14ac:dyDescent="0.15">
      <c r="L201" s="4"/>
      <c r="M201" s="4"/>
      <c r="N201" s="4"/>
    </row>
    <row r="202" spans="12:14" ht="13" x14ac:dyDescent="0.15">
      <c r="L202" s="4"/>
      <c r="M202" s="4"/>
      <c r="N202" s="4"/>
    </row>
    <row r="203" spans="12:14" ht="13" x14ac:dyDescent="0.15">
      <c r="L203" s="4"/>
      <c r="M203" s="4"/>
      <c r="N203" s="4"/>
    </row>
    <row r="204" spans="12:14" ht="13" x14ac:dyDescent="0.15">
      <c r="L204" s="4"/>
      <c r="M204" s="4"/>
      <c r="N204" s="4"/>
    </row>
    <row r="205" spans="12:14" ht="13" x14ac:dyDescent="0.15">
      <c r="L205" s="4"/>
      <c r="M205" s="4"/>
      <c r="N205" s="4"/>
    </row>
    <row r="206" spans="12:14" ht="13" x14ac:dyDescent="0.15">
      <c r="L206" s="4"/>
      <c r="M206" s="4"/>
      <c r="N206" s="4"/>
    </row>
    <row r="207" spans="12:14" ht="13" x14ac:dyDescent="0.15">
      <c r="L207" s="4"/>
      <c r="M207" s="4"/>
      <c r="N207" s="4"/>
    </row>
    <row r="208" spans="12:14" ht="13" x14ac:dyDescent="0.15">
      <c r="L208" s="4"/>
      <c r="M208" s="4"/>
      <c r="N208" s="4"/>
    </row>
    <row r="209" spans="12:14" ht="13" x14ac:dyDescent="0.15">
      <c r="L209" s="4"/>
      <c r="M209" s="4"/>
      <c r="N209" s="4"/>
    </row>
    <row r="210" spans="12:14" ht="13" x14ac:dyDescent="0.15">
      <c r="L210" s="4"/>
      <c r="M210" s="4"/>
      <c r="N210" s="4"/>
    </row>
    <row r="211" spans="12:14" ht="13" x14ac:dyDescent="0.15">
      <c r="L211" s="4"/>
      <c r="M211" s="4"/>
      <c r="N211" s="4"/>
    </row>
    <row r="212" spans="12:14" ht="13" x14ac:dyDescent="0.15">
      <c r="L212" s="4"/>
      <c r="M212" s="4"/>
      <c r="N212" s="4"/>
    </row>
    <row r="213" spans="12:14" ht="13" x14ac:dyDescent="0.15">
      <c r="L213" s="4"/>
      <c r="M213" s="4"/>
      <c r="N213" s="4"/>
    </row>
    <row r="214" spans="12:14" ht="13" x14ac:dyDescent="0.15">
      <c r="L214" s="4"/>
      <c r="M214" s="4"/>
      <c r="N214" s="4"/>
    </row>
    <row r="215" spans="12:14" ht="13" x14ac:dyDescent="0.15">
      <c r="L215" s="4"/>
      <c r="M215" s="4"/>
      <c r="N215" s="4"/>
    </row>
    <row r="216" spans="12:14" ht="13" x14ac:dyDescent="0.15">
      <c r="L216" s="4"/>
      <c r="M216" s="4"/>
      <c r="N216" s="4"/>
    </row>
    <row r="217" spans="12:14" ht="13" x14ac:dyDescent="0.15">
      <c r="L217" s="4"/>
      <c r="M217" s="4"/>
      <c r="N217" s="4"/>
    </row>
    <row r="218" spans="12:14" ht="13" x14ac:dyDescent="0.15">
      <c r="L218" s="4"/>
      <c r="M218" s="4"/>
      <c r="N218" s="4"/>
    </row>
    <row r="219" spans="12:14" ht="13" x14ac:dyDescent="0.15">
      <c r="L219" s="4"/>
      <c r="M219" s="4"/>
      <c r="N219" s="4"/>
    </row>
    <row r="220" spans="12:14" ht="13" x14ac:dyDescent="0.15">
      <c r="L220" s="4"/>
      <c r="M220" s="4"/>
      <c r="N220" s="4"/>
    </row>
    <row r="221" spans="12:14" ht="13" x14ac:dyDescent="0.15">
      <c r="L221" s="4"/>
      <c r="M221" s="4"/>
      <c r="N221" s="4"/>
    </row>
    <row r="222" spans="12:14" ht="13" x14ac:dyDescent="0.15">
      <c r="L222" s="4"/>
      <c r="M222" s="4"/>
      <c r="N222" s="4"/>
    </row>
    <row r="223" spans="12:14" ht="13" x14ac:dyDescent="0.15">
      <c r="L223" s="4"/>
      <c r="M223" s="4"/>
      <c r="N223" s="4"/>
    </row>
    <row r="224" spans="12:14" ht="13" x14ac:dyDescent="0.15">
      <c r="L224" s="4"/>
      <c r="M224" s="4"/>
      <c r="N224" s="4"/>
    </row>
    <row r="225" spans="12:14" ht="13" x14ac:dyDescent="0.15">
      <c r="L225" s="4"/>
      <c r="M225" s="4"/>
      <c r="N225" s="4"/>
    </row>
    <row r="226" spans="12:14" ht="13" x14ac:dyDescent="0.15">
      <c r="L226" s="4"/>
      <c r="M226" s="4"/>
      <c r="N226" s="4"/>
    </row>
    <row r="227" spans="12:14" ht="13" x14ac:dyDescent="0.15">
      <c r="L227" s="4"/>
      <c r="M227" s="4"/>
      <c r="N227" s="4"/>
    </row>
    <row r="228" spans="12:14" ht="13" x14ac:dyDescent="0.15">
      <c r="L228" s="4"/>
      <c r="M228" s="4"/>
      <c r="N228" s="4"/>
    </row>
    <row r="229" spans="12:14" ht="13" x14ac:dyDescent="0.15">
      <c r="L229" s="4"/>
      <c r="M229" s="4"/>
      <c r="N229" s="4"/>
    </row>
    <row r="230" spans="12:14" ht="13" x14ac:dyDescent="0.15">
      <c r="L230" s="4"/>
      <c r="M230" s="4"/>
      <c r="N230" s="4"/>
    </row>
    <row r="231" spans="12:14" ht="13" x14ac:dyDescent="0.15">
      <c r="L231" s="4"/>
      <c r="M231" s="4"/>
      <c r="N231" s="4"/>
    </row>
    <row r="232" spans="12:14" ht="13" x14ac:dyDescent="0.15">
      <c r="L232" s="4"/>
      <c r="M232" s="4"/>
      <c r="N232" s="4"/>
    </row>
    <row r="233" spans="12:14" ht="13" x14ac:dyDescent="0.15">
      <c r="L233" s="4"/>
      <c r="M233" s="4"/>
      <c r="N233" s="4"/>
    </row>
    <row r="234" spans="12:14" ht="13" x14ac:dyDescent="0.15">
      <c r="L234" s="4"/>
      <c r="M234" s="4"/>
      <c r="N234" s="4"/>
    </row>
    <row r="235" spans="12:14" ht="13" x14ac:dyDescent="0.15">
      <c r="L235" s="4"/>
      <c r="M235" s="4"/>
      <c r="N235" s="4"/>
    </row>
    <row r="236" spans="12:14" ht="13" x14ac:dyDescent="0.15">
      <c r="L236" s="4"/>
      <c r="M236" s="4"/>
      <c r="N236" s="4"/>
    </row>
    <row r="237" spans="12:14" ht="13" x14ac:dyDescent="0.15">
      <c r="L237" s="4"/>
      <c r="M237" s="4"/>
      <c r="N237" s="4"/>
    </row>
    <row r="238" spans="12:14" ht="13" x14ac:dyDescent="0.15">
      <c r="L238" s="4"/>
      <c r="M238" s="4"/>
      <c r="N238" s="4"/>
    </row>
    <row r="239" spans="12:14" ht="13" x14ac:dyDescent="0.15">
      <c r="L239" s="4"/>
      <c r="M239" s="4"/>
      <c r="N239" s="4"/>
    </row>
    <row r="240" spans="12:14" ht="13" x14ac:dyDescent="0.15">
      <c r="L240" s="4"/>
      <c r="M240" s="4"/>
      <c r="N240" s="4"/>
    </row>
    <row r="241" spans="12:14" ht="13" x14ac:dyDescent="0.15">
      <c r="L241" s="4"/>
      <c r="M241" s="4"/>
      <c r="N241" s="4"/>
    </row>
    <row r="242" spans="12:14" ht="13" x14ac:dyDescent="0.15">
      <c r="L242" s="4"/>
      <c r="M242" s="4"/>
      <c r="N242" s="4"/>
    </row>
    <row r="243" spans="12:14" ht="13" x14ac:dyDescent="0.15">
      <c r="L243" s="4"/>
      <c r="M243" s="4"/>
      <c r="N243" s="4"/>
    </row>
    <row r="244" spans="12:14" ht="13" x14ac:dyDescent="0.15">
      <c r="L244" s="4"/>
      <c r="M244" s="4"/>
      <c r="N244" s="4"/>
    </row>
    <row r="245" spans="12:14" ht="13" x14ac:dyDescent="0.15">
      <c r="L245" s="4"/>
      <c r="M245" s="4"/>
      <c r="N245" s="4"/>
    </row>
    <row r="246" spans="12:14" ht="13" x14ac:dyDescent="0.15">
      <c r="L246" s="4"/>
      <c r="M246" s="4"/>
      <c r="N246" s="4"/>
    </row>
    <row r="247" spans="12:14" ht="13" x14ac:dyDescent="0.15">
      <c r="L247" s="4"/>
      <c r="M247" s="4"/>
      <c r="N247" s="4"/>
    </row>
    <row r="248" spans="12:14" ht="13" x14ac:dyDescent="0.15">
      <c r="L248" s="4"/>
      <c r="M248" s="4"/>
      <c r="N248" s="4"/>
    </row>
    <row r="249" spans="12:14" ht="13" x14ac:dyDescent="0.15">
      <c r="L249" s="4"/>
      <c r="M249" s="4"/>
      <c r="N249" s="4"/>
    </row>
    <row r="250" spans="12:14" ht="13" x14ac:dyDescent="0.15">
      <c r="L250" s="4"/>
      <c r="M250" s="4"/>
      <c r="N250" s="4"/>
    </row>
    <row r="251" spans="12:14" ht="13" x14ac:dyDescent="0.15">
      <c r="L251" s="4"/>
      <c r="M251" s="4"/>
      <c r="N251" s="4"/>
    </row>
    <row r="252" spans="12:14" ht="13" x14ac:dyDescent="0.15">
      <c r="L252" s="4"/>
      <c r="M252" s="4"/>
      <c r="N252" s="4"/>
    </row>
    <row r="253" spans="12:14" ht="13" x14ac:dyDescent="0.15">
      <c r="L253" s="4"/>
      <c r="M253" s="4"/>
      <c r="N253" s="4"/>
    </row>
    <row r="254" spans="12:14" ht="13" x14ac:dyDescent="0.15">
      <c r="L254" s="4"/>
      <c r="M254" s="4"/>
      <c r="N254" s="4"/>
    </row>
    <row r="255" spans="12:14" ht="13" x14ac:dyDescent="0.15">
      <c r="L255" s="4"/>
      <c r="M255" s="4"/>
      <c r="N255" s="4"/>
    </row>
    <row r="256" spans="12:14" ht="13" x14ac:dyDescent="0.15">
      <c r="L256" s="4"/>
      <c r="M256" s="4"/>
      <c r="N256" s="4"/>
    </row>
    <row r="257" spans="12:14" ht="13" x14ac:dyDescent="0.15">
      <c r="L257" s="4"/>
      <c r="M257" s="4"/>
      <c r="N257" s="4"/>
    </row>
    <row r="258" spans="12:14" ht="13" x14ac:dyDescent="0.15">
      <c r="L258" s="4"/>
      <c r="M258" s="4"/>
      <c r="N258" s="4"/>
    </row>
    <row r="259" spans="12:14" ht="13" x14ac:dyDescent="0.15">
      <c r="L259" s="4"/>
      <c r="M259" s="4"/>
      <c r="N259" s="4"/>
    </row>
    <row r="260" spans="12:14" ht="13" x14ac:dyDescent="0.15">
      <c r="L260" s="4"/>
      <c r="M260" s="4"/>
      <c r="N260" s="4"/>
    </row>
    <row r="261" spans="12:14" ht="13" x14ac:dyDescent="0.15">
      <c r="L261" s="4"/>
      <c r="M261" s="4"/>
      <c r="N261" s="4"/>
    </row>
    <row r="262" spans="12:14" ht="13" x14ac:dyDescent="0.15">
      <c r="L262" s="4"/>
      <c r="M262" s="4"/>
      <c r="N262" s="4"/>
    </row>
    <row r="263" spans="12:14" ht="13" x14ac:dyDescent="0.15">
      <c r="L263" s="4"/>
      <c r="M263" s="4"/>
      <c r="N263" s="4"/>
    </row>
    <row r="264" spans="12:14" ht="13" x14ac:dyDescent="0.15">
      <c r="L264" s="4"/>
      <c r="M264" s="4"/>
      <c r="N264" s="4"/>
    </row>
    <row r="265" spans="12:14" ht="13" x14ac:dyDescent="0.15">
      <c r="L265" s="4"/>
      <c r="M265" s="4"/>
      <c r="N265" s="4"/>
    </row>
    <row r="266" spans="12:14" ht="13" x14ac:dyDescent="0.15">
      <c r="L266" s="4"/>
      <c r="M266" s="4"/>
      <c r="N266" s="4"/>
    </row>
    <row r="267" spans="12:14" ht="13" x14ac:dyDescent="0.15">
      <c r="L267" s="4"/>
      <c r="M267" s="4"/>
      <c r="N267" s="4"/>
    </row>
    <row r="268" spans="12:14" ht="13" x14ac:dyDescent="0.15">
      <c r="L268" s="4"/>
      <c r="M268" s="4"/>
      <c r="N268" s="4"/>
    </row>
    <row r="269" spans="12:14" ht="13" x14ac:dyDescent="0.15">
      <c r="L269" s="4"/>
      <c r="M269" s="4"/>
      <c r="N269" s="4"/>
    </row>
    <row r="270" spans="12:14" ht="13" x14ac:dyDescent="0.15">
      <c r="L270" s="4"/>
      <c r="M270" s="4"/>
      <c r="N270" s="4"/>
    </row>
    <row r="271" spans="12:14" ht="13" x14ac:dyDescent="0.15">
      <c r="L271" s="4"/>
      <c r="M271" s="4"/>
      <c r="N271" s="4"/>
    </row>
    <row r="272" spans="12:14" ht="13" x14ac:dyDescent="0.15">
      <c r="L272" s="4"/>
      <c r="M272" s="4"/>
      <c r="N272" s="4"/>
    </row>
    <row r="273" spans="12:14" ht="13" x14ac:dyDescent="0.15">
      <c r="L273" s="4"/>
      <c r="M273" s="4"/>
      <c r="N273" s="4"/>
    </row>
    <row r="274" spans="12:14" ht="13" x14ac:dyDescent="0.15">
      <c r="L274" s="4"/>
      <c r="M274" s="4"/>
      <c r="N274" s="4"/>
    </row>
    <row r="275" spans="12:14" ht="13" x14ac:dyDescent="0.15">
      <c r="L275" s="4"/>
      <c r="M275" s="4"/>
      <c r="N275" s="4"/>
    </row>
    <row r="276" spans="12:14" ht="13" x14ac:dyDescent="0.15">
      <c r="L276" s="4"/>
      <c r="M276" s="4"/>
      <c r="N276" s="4"/>
    </row>
    <row r="277" spans="12:14" ht="13" x14ac:dyDescent="0.15">
      <c r="L277" s="4"/>
      <c r="M277" s="4"/>
      <c r="N277" s="4"/>
    </row>
    <row r="278" spans="12:14" ht="13" x14ac:dyDescent="0.15">
      <c r="L278" s="4"/>
      <c r="M278" s="4"/>
      <c r="N278" s="4"/>
    </row>
    <row r="279" spans="12:14" ht="13" x14ac:dyDescent="0.15">
      <c r="L279" s="4"/>
      <c r="M279" s="4"/>
      <c r="N279" s="4"/>
    </row>
    <row r="280" spans="12:14" ht="13" x14ac:dyDescent="0.15">
      <c r="L280" s="4"/>
      <c r="M280" s="4"/>
      <c r="N280" s="4"/>
    </row>
    <row r="281" spans="12:14" ht="13" x14ac:dyDescent="0.15">
      <c r="L281" s="4"/>
      <c r="M281" s="4"/>
      <c r="N281" s="4"/>
    </row>
    <row r="282" spans="12:14" ht="13" x14ac:dyDescent="0.15">
      <c r="L282" s="4"/>
      <c r="M282" s="4"/>
      <c r="N282" s="4"/>
    </row>
    <row r="283" spans="12:14" ht="13" x14ac:dyDescent="0.15">
      <c r="L283" s="4"/>
      <c r="M283" s="4"/>
      <c r="N283" s="4"/>
    </row>
    <row r="284" spans="12:14" ht="13" x14ac:dyDescent="0.15">
      <c r="L284" s="4"/>
      <c r="M284" s="4"/>
      <c r="N284" s="4"/>
    </row>
    <row r="285" spans="12:14" ht="13" x14ac:dyDescent="0.15">
      <c r="L285" s="4"/>
      <c r="M285" s="4"/>
      <c r="N285" s="4"/>
    </row>
    <row r="286" spans="12:14" ht="13" x14ac:dyDescent="0.15">
      <c r="L286" s="4"/>
      <c r="M286" s="4"/>
      <c r="N286" s="4"/>
    </row>
    <row r="287" spans="12:14" ht="13" x14ac:dyDescent="0.15">
      <c r="L287" s="4"/>
      <c r="M287" s="4"/>
      <c r="N287" s="4"/>
    </row>
    <row r="288" spans="12:14" ht="13" x14ac:dyDescent="0.15">
      <c r="L288" s="4"/>
      <c r="M288" s="4"/>
      <c r="N288" s="4"/>
    </row>
    <row r="289" spans="12:14" ht="13" x14ac:dyDescent="0.15">
      <c r="L289" s="4"/>
      <c r="M289" s="4"/>
      <c r="N289" s="4"/>
    </row>
    <row r="290" spans="12:14" ht="13" x14ac:dyDescent="0.15">
      <c r="L290" s="4"/>
      <c r="M290" s="4"/>
      <c r="N290" s="4"/>
    </row>
    <row r="291" spans="12:14" ht="13" x14ac:dyDescent="0.15">
      <c r="L291" s="4"/>
      <c r="M291" s="4"/>
      <c r="N291" s="4"/>
    </row>
    <row r="292" spans="12:14" ht="13" x14ac:dyDescent="0.15">
      <c r="L292" s="4"/>
      <c r="M292" s="4"/>
      <c r="N292" s="4"/>
    </row>
    <row r="293" spans="12:14" ht="13" x14ac:dyDescent="0.15">
      <c r="L293" s="4"/>
      <c r="M293" s="4"/>
      <c r="N293" s="4"/>
    </row>
    <row r="294" spans="12:14" ht="13" x14ac:dyDescent="0.15">
      <c r="L294" s="4"/>
      <c r="M294" s="4"/>
      <c r="N294" s="4"/>
    </row>
    <row r="295" spans="12:14" ht="13" x14ac:dyDescent="0.15">
      <c r="L295" s="4"/>
      <c r="M295" s="4"/>
      <c r="N295" s="4"/>
    </row>
    <row r="296" spans="12:14" ht="13" x14ac:dyDescent="0.15">
      <c r="L296" s="4"/>
      <c r="M296" s="4"/>
      <c r="N296" s="4"/>
    </row>
    <row r="297" spans="12:14" ht="13" x14ac:dyDescent="0.15">
      <c r="L297" s="4"/>
      <c r="M297" s="4"/>
      <c r="N297" s="4"/>
    </row>
    <row r="298" spans="12:14" ht="13" x14ac:dyDescent="0.15">
      <c r="L298" s="4"/>
      <c r="M298" s="4"/>
      <c r="N298" s="4"/>
    </row>
    <row r="299" spans="12:14" ht="13" x14ac:dyDescent="0.15">
      <c r="L299" s="4"/>
      <c r="M299" s="4"/>
      <c r="N299" s="4"/>
    </row>
    <row r="300" spans="12:14" ht="13" x14ac:dyDescent="0.15">
      <c r="L300" s="4"/>
      <c r="M300" s="4"/>
      <c r="N300" s="4"/>
    </row>
    <row r="301" spans="12:14" ht="13" x14ac:dyDescent="0.15">
      <c r="L301" s="4"/>
      <c r="M301" s="4"/>
      <c r="N301" s="4"/>
    </row>
    <row r="302" spans="12:14" ht="13" x14ac:dyDescent="0.15">
      <c r="L302" s="4"/>
      <c r="M302" s="4"/>
      <c r="N302" s="4"/>
    </row>
    <row r="303" spans="12:14" ht="13" x14ac:dyDescent="0.15">
      <c r="L303" s="4"/>
      <c r="M303" s="4"/>
      <c r="N303" s="4"/>
    </row>
    <row r="304" spans="12:14" ht="13" x14ac:dyDescent="0.15">
      <c r="L304" s="4"/>
      <c r="M304" s="4"/>
      <c r="N304" s="4"/>
    </row>
    <row r="305" spans="12:14" ht="13" x14ac:dyDescent="0.15">
      <c r="L305" s="4"/>
      <c r="M305" s="4"/>
      <c r="N305" s="4"/>
    </row>
    <row r="306" spans="12:14" ht="13" x14ac:dyDescent="0.15">
      <c r="L306" s="4"/>
      <c r="M306" s="4"/>
      <c r="N306" s="4"/>
    </row>
    <row r="307" spans="12:14" ht="13" x14ac:dyDescent="0.15">
      <c r="L307" s="4"/>
      <c r="M307" s="4"/>
      <c r="N307" s="4"/>
    </row>
    <row r="308" spans="12:14" ht="13" x14ac:dyDescent="0.15">
      <c r="L308" s="4"/>
      <c r="M308" s="4"/>
      <c r="N308" s="4"/>
    </row>
    <row r="309" spans="12:14" ht="13" x14ac:dyDescent="0.15">
      <c r="L309" s="4"/>
      <c r="M309" s="4"/>
      <c r="N309" s="4"/>
    </row>
    <row r="310" spans="12:14" ht="13" x14ac:dyDescent="0.15">
      <c r="L310" s="4"/>
      <c r="M310" s="4"/>
      <c r="N310" s="4"/>
    </row>
    <row r="311" spans="12:14" ht="13" x14ac:dyDescent="0.15">
      <c r="L311" s="4"/>
      <c r="M311" s="4"/>
      <c r="N311" s="4"/>
    </row>
    <row r="312" spans="12:14" ht="13" x14ac:dyDescent="0.15">
      <c r="L312" s="4"/>
      <c r="M312" s="4"/>
      <c r="N312" s="4"/>
    </row>
    <row r="313" spans="12:14" ht="13" x14ac:dyDescent="0.15">
      <c r="L313" s="4"/>
      <c r="M313" s="4"/>
      <c r="N313" s="4"/>
    </row>
    <row r="314" spans="12:14" ht="13" x14ac:dyDescent="0.15">
      <c r="L314" s="4"/>
      <c r="M314" s="4"/>
      <c r="N314" s="4"/>
    </row>
    <row r="315" spans="12:14" ht="13" x14ac:dyDescent="0.15">
      <c r="L315" s="4"/>
      <c r="M315" s="4"/>
      <c r="N315" s="4"/>
    </row>
    <row r="316" spans="12:14" ht="13" x14ac:dyDescent="0.15">
      <c r="L316" s="4"/>
      <c r="M316" s="4"/>
      <c r="N316" s="4"/>
    </row>
    <row r="317" spans="12:14" ht="13" x14ac:dyDescent="0.15">
      <c r="L317" s="4"/>
      <c r="M317" s="4"/>
      <c r="N317" s="4"/>
    </row>
    <row r="318" spans="12:14" ht="13" x14ac:dyDescent="0.15">
      <c r="L318" s="4"/>
      <c r="M318" s="4"/>
      <c r="N318" s="4"/>
    </row>
    <row r="319" spans="12:14" ht="13" x14ac:dyDescent="0.15">
      <c r="L319" s="4"/>
      <c r="M319" s="4"/>
      <c r="N319" s="4"/>
    </row>
    <row r="320" spans="12:14" ht="13" x14ac:dyDescent="0.15">
      <c r="L320" s="4"/>
      <c r="M320" s="4"/>
      <c r="N320" s="4"/>
    </row>
    <row r="321" spans="12:14" ht="13" x14ac:dyDescent="0.15">
      <c r="L321" s="4"/>
      <c r="M321" s="4"/>
      <c r="N321" s="4"/>
    </row>
    <row r="322" spans="12:14" ht="13" x14ac:dyDescent="0.15">
      <c r="L322" s="4"/>
      <c r="M322" s="4"/>
      <c r="N322" s="4"/>
    </row>
    <row r="323" spans="12:14" ht="13" x14ac:dyDescent="0.15">
      <c r="L323" s="4"/>
      <c r="M323" s="4"/>
      <c r="N323" s="4"/>
    </row>
    <row r="324" spans="12:14" ht="13" x14ac:dyDescent="0.15">
      <c r="L324" s="4"/>
      <c r="M324" s="4"/>
      <c r="N324" s="4"/>
    </row>
    <row r="325" spans="12:14" ht="13" x14ac:dyDescent="0.15">
      <c r="L325" s="4"/>
      <c r="M325" s="4"/>
      <c r="N325" s="4"/>
    </row>
    <row r="326" spans="12:14" ht="13" x14ac:dyDescent="0.15">
      <c r="L326" s="4"/>
      <c r="M326" s="4"/>
      <c r="N326" s="4"/>
    </row>
    <row r="327" spans="12:14" ht="13" x14ac:dyDescent="0.15">
      <c r="L327" s="4"/>
      <c r="M327" s="4"/>
      <c r="N327" s="4"/>
    </row>
    <row r="328" spans="12:14" ht="13" x14ac:dyDescent="0.15">
      <c r="L328" s="4"/>
      <c r="M328" s="4"/>
      <c r="N328" s="4"/>
    </row>
    <row r="329" spans="12:14" ht="13" x14ac:dyDescent="0.15">
      <c r="L329" s="4"/>
      <c r="M329" s="4"/>
      <c r="N329" s="4"/>
    </row>
    <row r="330" spans="12:14" ht="13" x14ac:dyDescent="0.15">
      <c r="L330" s="4"/>
      <c r="M330" s="4"/>
      <c r="N330" s="4"/>
    </row>
    <row r="331" spans="12:14" ht="13" x14ac:dyDescent="0.15">
      <c r="L331" s="4"/>
      <c r="M331" s="4"/>
      <c r="N331" s="4"/>
    </row>
    <row r="332" spans="12:14" ht="13" x14ac:dyDescent="0.15">
      <c r="L332" s="4"/>
      <c r="M332" s="4"/>
      <c r="N332" s="4"/>
    </row>
    <row r="333" spans="12:14" ht="13" x14ac:dyDescent="0.15">
      <c r="L333" s="4"/>
      <c r="M333" s="4"/>
      <c r="N333" s="4"/>
    </row>
    <row r="334" spans="12:14" ht="13" x14ac:dyDescent="0.15">
      <c r="L334" s="4"/>
      <c r="M334" s="4"/>
      <c r="N334" s="4"/>
    </row>
    <row r="335" spans="12:14" ht="13" x14ac:dyDescent="0.15">
      <c r="L335" s="4"/>
      <c r="M335" s="4"/>
      <c r="N335" s="4"/>
    </row>
    <row r="336" spans="12:14" ht="13" x14ac:dyDescent="0.15">
      <c r="L336" s="4"/>
      <c r="M336" s="4"/>
      <c r="N336" s="4"/>
    </row>
    <row r="337" spans="12:14" ht="13" x14ac:dyDescent="0.15">
      <c r="L337" s="4"/>
      <c r="M337" s="4"/>
      <c r="N337" s="4"/>
    </row>
    <row r="338" spans="12:14" ht="13" x14ac:dyDescent="0.15">
      <c r="L338" s="4"/>
      <c r="M338" s="4"/>
      <c r="N338" s="4"/>
    </row>
    <row r="339" spans="12:14" ht="13" x14ac:dyDescent="0.15">
      <c r="L339" s="4"/>
      <c r="M339" s="4"/>
      <c r="N339" s="4"/>
    </row>
    <row r="340" spans="12:14" ht="13" x14ac:dyDescent="0.15">
      <c r="L340" s="4"/>
      <c r="M340" s="4"/>
      <c r="N340" s="4"/>
    </row>
    <row r="341" spans="12:14" ht="13" x14ac:dyDescent="0.15">
      <c r="L341" s="4"/>
      <c r="M341" s="4"/>
      <c r="N341" s="4"/>
    </row>
    <row r="342" spans="12:14" ht="13" x14ac:dyDescent="0.15">
      <c r="L342" s="4"/>
      <c r="M342" s="4"/>
      <c r="N342" s="4"/>
    </row>
    <row r="343" spans="12:14" ht="13" x14ac:dyDescent="0.15">
      <c r="L343" s="4"/>
      <c r="M343" s="4"/>
      <c r="N343" s="4"/>
    </row>
    <row r="344" spans="12:14" ht="13" x14ac:dyDescent="0.15">
      <c r="L344" s="4"/>
      <c r="M344" s="4"/>
      <c r="N344" s="4"/>
    </row>
    <row r="345" spans="12:14" ht="13" x14ac:dyDescent="0.15">
      <c r="L345" s="4"/>
      <c r="M345" s="4"/>
      <c r="N345" s="4"/>
    </row>
    <row r="346" spans="12:14" ht="13" x14ac:dyDescent="0.15">
      <c r="L346" s="4"/>
      <c r="M346" s="4"/>
      <c r="N346" s="4"/>
    </row>
    <row r="347" spans="12:14" ht="13" x14ac:dyDescent="0.15">
      <c r="L347" s="4"/>
      <c r="M347" s="4"/>
      <c r="N347" s="4"/>
    </row>
    <row r="348" spans="12:14" ht="13" x14ac:dyDescent="0.15">
      <c r="L348" s="4"/>
      <c r="M348" s="4"/>
      <c r="N348" s="4"/>
    </row>
    <row r="349" spans="12:14" ht="13" x14ac:dyDescent="0.15">
      <c r="L349" s="4"/>
      <c r="M349" s="4"/>
      <c r="N349" s="4"/>
    </row>
    <row r="350" spans="12:14" ht="13" x14ac:dyDescent="0.15">
      <c r="L350" s="4"/>
      <c r="M350" s="4"/>
      <c r="N350" s="4"/>
    </row>
    <row r="351" spans="12:14" ht="13" x14ac:dyDescent="0.15">
      <c r="L351" s="4"/>
      <c r="M351" s="4"/>
      <c r="N351" s="4"/>
    </row>
    <row r="352" spans="12:14" ht="13" x14ac:dyDescent="0.15">
      <c r="L352" s="4"/>
      <c r="M352" s="4"/>
      <c r="N352" s="4"/>
    </row>
    <row r="353" spans="12:14" ht="13" x14ac:dyDescent="0.15">
      <c r="L353" s="4"/>
      <c r="M353" s="4"/>
      <c r="N353" s="4"/>
    </row>
    <row r="354" spans="12:14" ht="13" x14ac:dyDescent="0.15">
      <c r="L354" s="4"/>
      <c r="M354" s="4"/>
      <c r="N354" s="4"/>
    </row>
    <row r="355" spans="12:14" ht="13" x14ac:dyDescent="0.15">
      <c r="L355" s="4"/>
      <c r="M355" s="4"/>
      <c r="N355" s="4"/>
    </row>
    <row r="356" spans="12:14" ht="13" x14ac:dyDescent="0.15">
      <c r="L356" s="4"/>
      <c r="M356" s="4"/>
      <c r="N356" s="4"/>
    </row>
    <row r="357" spans="12:14" ht="13" x14ac:dyDescent="0.15">
      <c r="L357" s="4"/>
      <c r="M357" s="4"/>
      <c r="N357" s="4"/>
    </row>
    <row r="358" spans="12:14" ht="13" x14ac:dyDescent="0.15">
      <c r="L358" s="4"/>
      <c r="M358" s="4"/>
      <c r="N358" s="4"/>
    </row>
    <row r="359" spans="12:14" ht="13" x14ac:dyDescent="0.15">
      <c r="L359" s="4"/>
      <c r="M359" s="4"/>
      <c r="N359" s="4"/>
    </row>
    <row r="360" spans="12:14" ht="13" x14ac:dyDescent="0.15">
      <c r="L360" s="4"/>
      <c r="M360" s="4"/>
      <c r="N360" s="4"/>
    </row>
    <row r="361" spans="12:14" ht="13" x14ac:dyDescent="0.15">
      <c r="L361" s="4"/>
      <c r="M361" s="4"/>
      <c r="N361" s="4"/>
    </row>
    <row r="362" spans="12:14" ht="13" x14ac:dyDescent="0.15">
      <c r="L362" s="4"/>
      <c r="M362" s="4"/>
      <c r="N362" s="4"/>
    </row>
    <row r="363" spans="12:14" ht="13" x14ac:dyDescent="0.15">
      <c r="L363" s="4"/>
      <c r="M363" s="4"/>
      <c r="N363" s="4"/>
    </row>
    <row r="364" spans="12:14" ht="13" x14ac:dyDescent="0.15">
      <c r="L364" s="4"/>
      <c r="M364" s="4"/>
      <c r="N364" s="4"/>
    </row>
    <row r="365" spans="12:14" ht="13" x14ac:dyDescent="0.15">
      <c r="L365" s="4"/>
      <c r="M365" s="4"/>
      <c r="N365" s="4"/>
    </row>
    <row r="366" spans="12:14" ht="13" x14ac:dyDescent="0.15">
      <c r="L366" s="4"/>
      <c r="M366" s="4"/>
      <c r="N366" s="4"/>
    </row>
    <row r="367" spans="12:14" ht="13" x14ac:dyDescent="0.15">
      <c r="L367" s="4"/>
      <c r="M367" s="4"/>
      <c r="N367" s="4"/>
    </row>
    <row r="368" spans="12:14" ht="13" x14ac:dyDescent="0.15">
      <c r="L368" s="4"/>
      <c r="M368" s="4"/>
      <c r="N368" s="4"/>
    </row>
    <row r="369" spans="12:14" ht="13" x14ac:dyDescent="0.15">
      <c r="L369" s="4"/>
      <c r="M369" s="4"/>
      <c r="N369" s="4"/>
    </row>
    <row r="370" spans="12:14" ht="13" x14ac:dyDescent="0.15">
      <c r="L370" s="4"/>
      <c r="M370" s="4"/>
      <c r="N370" s="4"/>
    </row>
    <row r="371" spans="12:14" ht="13" x14ac:dyDescent="0.15">
      <c r="L371" s="4"/>
      <c r="M371" s="4"/>
      <c r="N371" s="4"/>
    </row>
    <row r="372" spans="12:14" ht="13" x14ac:dyDescent="0.15">
      <c r="L372" s="4"/>
      <c r="M372" s="4"/>
      <c r="N372" s="4"/>
    </row>
    <row r="373" spans="12:14" ht="13" x14ac:dyDescent="0.15">
      <c r="L373" s="4"/>
      <c r="M373" s="4"/>
      <c r="N373" s="4"/>
    </row>
    <row r="374" spans="12:14" ht="13" x14ac:dyDescent="0.15">
      <c r="L374" s="4"/>
      <c r="M374" s="4"/>
      <c r="N374" s="4"/>
    </row>
    <row r="375" spans="12:14" ht="13" x14ac:dyDescent="0.15">
      <c r="L375" s="4"/>
      <c r="M375" s="4"/>
      <c r="N375" s="4"/>
    </row>
    <row r="376" spans="12:14" ht="13" x14ac:dyDescent="0.15">
      <c r="L376" s="4"/>
      <c r="M376" s="4"/>
      <c r="N376" s="4"/>
    </row>
    <row r="377" spans="12:14" ht="13" x14ac:dyDescent="0.15">
      <c r="L377" s="4"/>
      <c r="M377" s="4"/>
      <c r="N377" s="4"/>
    </row>
    <row r="378" spans="12:14" ht="13" x14ac:dyDescent="0.15">
      <c r="L378" s="4"/>
      <c r="M378" s="4"/>
      <c r="N378" s="4"/>
    </row>
    <row r="379" spans="12:14" ht="13" x14ac:dyDescent="0.15">
      <c r="L379" s="4"/>
      <c r="M379" s="4"/>
      <c r="N379" s="4"/>
    </row>
    <row r="380" spans="12:14" ht="13" x14ac:dyDescent="0.15">
      <c r="L380" s="4"/>
      <c r="M380" s="4"/>
      <c r="N380" s="4"/>
    </row>
    <row r="381" spans="12:14" ht="13" x14ac:dyDescent="0.15">
      <c r="L381" s="4"/>
      <c r="M381" s="4"/>
      <c r="N381" s="4"/>
    </row>
    <row r="382" spans="12:14" ht="13" x14ac:dyDescent="0.15">
      <c r="L382" s="4"/>
      <c r="M382" s="4"/>
      <c r="N382" s="4"/>
    </row>
    <row r="383" spans="12:14" ht="13" x14ac:dyDescent="0.15">
      <c r="L383" s="4"/>
      <c r="M383" s="4"/>
      <c r="N383" s="4"/>
    </row>
    <row r="384" spans="12:14" ht="13" x14ac:dyDescent="0.15">
      <c r="L384" s="4"/>
      <c r="M384" s="4"/>
      <c r="N384" s="4"/>
    </row>
    <row r="385" spans="12:14" ht="13" x14ac:dyDescent="0.15">
      <c r="L385" s="4"/>
      <c r="M385" s="4"/>
      <c r="N385" s="4"/>
    </row>
    <row r="386" spans="12:14" ht="13" x14ac:dyDescent="0.15">
      <c r="L386" s="4"/>
      <c r="M386" s="4"/>
      <c r="N386" s="4"/>
    </row>
    <row r="387" spans="12:14" ht="13" x14ac:dyDescent="0.15">
      <c r="L387" s="4"/>
      <c r="M387" s="4"/>
      <c r="N387" s="4"/>
    </row>
    <row r="388" spans="12:14" ht="13" x14ac:dyDescent="0.15">
      <c r="L388" s="4"/>
      <c r="M388" s="4"/>
      <c r="N388" s="4"/>
    </row>
    <row r="389" spans="12:14" ht="13" x14ac:dyDescent="0.15">
      <c r="L389" s="4"/>
      <c r="M389" s="4"/>
      <c r="N389" s="4"/>
    </row>
    <row r="390" spans="12:14" ht="13" x14ac:dyDescent="0.15">
      <c r="L390" s="4"/>
      <c r="M390" s="4"/>
      <c r="N390" s="4"/>
    </row>
    <row r="391" spans="12:14" ht="13" x14ac:dyDescent="0.15">
      <c r="L391" s="4"/>
      <c r="M391" s="4"/>
      <c r="N391" s="4"/>
    </row>
    <row r="392" spans="12:14" ht="13" x14ac:dyDescent="0.15">
      <c r="L392" s="4"/>
      <c r="M392" s="4"/>
      <c r="N392" s="4"/>
    </row>
    <row r="393" spans="12:14" ht="13" x14ac:dyDescent="0.15">
      <c r="L393" s="4"/>
      <c r="M393" s="4"/>
      <c r="N393" s="4"/>
    </row>
    <row r="394" spans="12:14" ht="13" x14ac:dyDescent="0.15">
      <c r="L394" s="4"/>
      <c r="M394" s="4"/>
      <c r="N394" s="4"/>
    </row>
    <row r="395" spans="12:14" ht="13" x14ac:dyDescent="0.15">
      <c r="L395" s="4"/>
      <c r="M395" s="4"/>
      <c r="N395" s="4"/>
    </row>
    <row r="396" spans="12:14" ht="13" x14ac:dyDescent="0.15">
      <c r="L396" s="4"/>
      <c r="M396" s="4"/>
      <c r="N396" s="4"/>
    </row>
    <row r="397" spans="12:14" ht="13" x14ac:dyDescent="0.15">
      <c r="L397" s="4"/>
      <c r="M397" s="4"/>
      <c r="N397" s="4"/>
    </row>
    <row r="398" spans="12:14" ht="13" x14ac:dyDescent="0.15">
      <c r="L398" s="4"/>
      <c r="M398" s="4"/>
      <c r="N398" s="4"/>
    </row>
    <row r="399" spans="12:14" ht="13" x14ac:dyDescent="0.15">
      <c r="L399" s="4"/>
      <c r="M399" s="4"/>
      <c r="N399" s="4"/>
    </row>
    <row r="400" spans="12:14" ht="13" x14ac:dyDescent="0.15">
      <c r="L400" s="4"/>
      <c r="M400" s="4"/>
      <c r="N400" s="4"/>
    </row>
    <row r="401" spans="12:14" ht="13" x14ac:dyDescent="0.15">
      <c r="L401" s="4"/>
      <c r="M401" s="4"/>
      <c r="N401" s="4"/>
    </row>
    <row r="402" spans="12:14" ht="13" x14ac:dyDescent="0.15">
      <c r="L402" s="4"/>
      <c r="M402" s="4"/>
      <c r="N402" s="4"/>
    </row>
    <row r="403" spans="12:14" ht="13" x14ac:dyDescent="0.15">
      <c r="L403" s="4"/>
      <c r="M403" s="4"/>
      <c r="N403" s="4"/>
    </row>
    <row r="404" spans="12:14" ht="13" x14ac:dyDescent="0.15">
      <c r="L404" s="4"/>
      <c r="M404" s="4"/>
      <c r="N404" s="4"/>
    </row>
    <row r="405" spans="12:14" ht="13" x14ac:dyDescent="0.15">
      <c r="L405" s="4"/>
      <c r="M405" s="4"/>
      <c r="N405" s="4"/>
    </row>
    <row r="406" spans="12:14" ht="13" x14ac:dyDescent="0.15">
      <c r="L406" s="4"/>
      <c r="M406" s="4"/>
      <c r="N406" s="4"/>
    </row>
    <row r="407" spans="12:14" ht="13" x14ac:dyDescent="0.15">
      <c r="L407" s="4"/>
      <c r="M407" s="4"/>
      <c r="N407" s="4"/>
    </row>
    <row r="408" spans="12:14" ht="13" x14ac:dyDescent="0.15">
      <c r="L408" s="4"/>
      <c r="M408" s="4"/>
      <c r="N408" s="4"/>
    </row>
    <row r="409" spans="12:14" ht="13" x14ac:dyDescent="0.15">
      <c r="L409" s="4"/>
      <c r="M409" s="4"/>
      <c r="N409" s="4"/>
    </row>
    <row r="410" spans="12:14" ht="13" x14ac:dyDescent="0.15">
      <c r="L410" s="4"/>
      <c r="M410" s="4"/>
      <c r="N410" s="4"/>
    </row>
    <row r="411" spans="12:14" ht="13" x14ac:dyDescent="0.15">
      <c r="L411" s="4"/>
      <c r="M411" s="4"/>
      <c r="N411" s="4"/>
    </row>
    <row r="412" spans="12:14" ht="13" x14ac:dyDescent="0.15">
      <c r="L412" s="4"/>
      <c r="M412" s="4"/>
      <c r="N412" s="4"/>
    </row>
    <row r="413" spans="12:14" ht="13" x14ac:dyDescent="0.15">
      <c r="L413" s="4"/>
      <c r="M413" s="4"/>
      <c r="N413" s="4"/>
    </row>
    <row r="414" spans="12:14" ht="13" x14ac:dyDescent="0.15">
      <c r="L414" s="4"/>
      <c r="M414" s="4"/>
      <c r="N414" s="4"/>
    </row>
    <row r="415" spans="12:14" ht="13" x14ac:dyDescent="0.15">
      <c r="L415" s="4"/>
      <c r="M415" s="4"/>
      <c r="N415" s="4"/>
    </row>
    <row r="416" spans="12:14" ht="13" x14ac:dyDescent="0.15">
      <c r="L416" s="4"/>
      <c r="M416" s="4"/>
      <c r="N416" s="4"/>
    </row>
    <row r="417" spans="12:14" ht="13" x14ac:dyDescent="0.15">
      <c r="L417" s="4"/>
      <c r="M417" s="4"/>
      <c r="N417" s="4"/>
    </row>
    <row r="418" spans="12:14" ht="13" x14ac:dyDescent="0.15">
      <c r="L418" s="4"/>
      <c r="M418" s="4"/>
      <c r="N418" s="4"/>
    </row>
    <row r="419" spans="12:14" ht="13" x14ac:dyDescent="0.15">
      <c r="L419" s="4"/>
      <c r="M419" s="4"/>
      <c r="N419" s="4"/>
    </row>
    <row r="420" spans="12:14" ht="13" x14ac:dyDescent="0.15">
      <c r="L420" s="4"/>
      <c r="M420" s="4"/>
      <c r="N420" s="4"/>
    </row>
    <row r="421" spans="12:14" ht="13" x14ac:dyDescent="0.15">
      <c r="L421" s="4"/>
      <c r="M421" s="4"/>
      <c r="N421" s="4"/>
    </row>
    <row r="422" spans="12:14" ht="13" x14ac:dyDescent="0.15">
      <c r="L422" s="4"/>
      <c r="M422" s="4"/>
      <c r="N422" s="4"/>
    </row>
    <row r="423" spans="12:14" ht="13" x14ac:dyDescent="0.15">
      <c r="L423" s="4"/>
      <c r="M423" s="4"/>
      <c r="N423" s="4"/>
    </row>
    <row r="424" spans="12:14" ht="13" x14ac:dyDescent="0.15">
      <c r="L424" s="4"/>
      <c r="M424" s="4"/>
      <c r="N424" s="4"/>
    </row>
    <row r="425" spans="12:14" ht="13" x14ac:dyDescent="0.15">
      <c r="L425" s="4"/>
      <c r="M425" s="4"/>
      <c r="N425" s="4"/>
    </row>
    <row r="426" spans="12:14" ht="13" x14ac:dyDescent="0.15">
      <c r="L426" s="4"/>
      <c r="M426" s="4"/>
      <c r="N426" s="4"/>
    </row>
    <row r="427" spans="12:14" ht="13" x14ac:dyDescent="0.15">
      <c r="L427" s="4"/>
      <c r="M427" s="4"/>
      <c r="N427" s="4"/>
    </row>
    <row r="428" spans="12:14" ht="13" x14ac:dyDescent="0.15">
      <c r="L428" s="4"/>
      <c r="M428" s="4"/>
      <c r="N428" s="4"/>
    </row>
    <row r="429" spans="12:14" ht="13" x14ac:dyDescent="0.15">
      <c r="L429" s="4"/>
      <c r="M429" s="4"/>
      <c r="N429" s="4"/>
    </row>
    <row r="430" spans="12:14" ht="13" x14ac:dyDescent="0.15">
      <c r="L430" s="4"/>
      <c r="M430" s="4"/>
      <c r="N430" s="4"/>
    </row>
    <row r="431" spans="12:14" ht="13" x14ac:dyDescent="0.15">
      <c r="L431" s="4"/>
      <c r="M431" s="4"/>
      <c r="N431" s="4"/>
    </row>
    <row r="432" spans="12:14" ht="13" x14ac:dyDescent="0.15">
      <c r="L432" s="4"/>
      <c r="M432" s="4"/>
      <c r="N432" s="4"/>
    </row>
    <row r="433" spans="12:14" ht="13" x14ac:dyDescent="0.15">
      <c r="L433" s="4"/>
      <c r="M433" s="4"/>
      <c r="N433" s="4"/>
    </row>
    <row r="434" spans="12:14" ht="13" x14ac:dyDescent="0.15">
      <c r="L434" s="4"/>
      <c r="M434" s="4"/>
      <c r="N434" s="4"/>
    </row>
    <row r="435" spans="12:14" ht="13" x14ac:dyDescent="0.15">
      <c r="L435" s="4"/>
      <c r="M435" s="4"/>
      <c r="N435" s="4"/>
    </row>
    <row r="436" spans="12:14" ht="13" x14ac:dyDescent="0.15">
      <c r="L436" s="4"/>
      <c r="M436" s="4"/>
      <c r="N436" s="4"/>
    </row>
    <row r="437" spans="12:14" ht="13" x14ac:dyDescent="0.15">
      <c r="L437" s="4"/>
      <c r="M437" s="4"/>
      <c r="N437" s="4"/>
    </row>
    <row r="438" spans="12:14" ht="13" x14ac:dyDescent="0.15">
      <c r="L438" s="4"/>
      <c r="M438" s="4"/>
      <c r="N438" s="4"/>
    </row>
    <row r="439" spans="12:14" ht="13" x14ac:dyDescent="0.15">
      <c r="L439" s="4"/>
      <c r="M439" s="4"/>
      <c r="N439" s="4"/>
    </row>
    <row r="440" spans="12:14" ht="13" x14ac:dyDescent="0.15">
      <c r="L440" s="4"/>
      <c r="M440" s="4"/>
      <c r="N440" s="4"/>
    </row>
    <row r="441" spans="12:14" ht="13" x14ac:dyDescent="0.15">
      <c r="L441" s="4"/>
      <c r="M441" s="4"/>
      <c r="N441" s="4"/>
    </row>
    <row r="442" spans="12:14" ht="13" x14ac:dyDescent="0.15">
      <c r="L442" s="4"/>
      <c r="M442" s="4"/>
      <c r="N442" s="4"/>
    </row>
    <row r="443" spans="12:14" ht="13" x14ac:dyDescent="0.15">
      <c r="L443" s="4"/>
      <c r="M443" s="4"/>
      <c r="N443" s="4"/>
    </row>
    <row r="444" spans="12:14" ht="13" x14ac:dyDescent="0.15">
      <c r="L444" s="4"/>
      <c r="M444" s="4"/>
      <c r="N444" s="4"/>
    </row>
    <row r="445" spans="12:14" ht="13" x14ac:dyDescent="0.15">
      <c r="L445" s="4"/>
      <c r="M445" s="4"/>
      <c r="N445" s="4"/>
    </row>
    <row r="446" spans="12:14" ht="13" x14ac:dyDescent="0.15">
      <c r="L446" s="4"/>
      <c r="M446" s="4"/>
      <c r="N446" s="4"/>
    </row>
    <row r="447" spans="12:14" ht="13" x14ac:dyDescent="0.15">
      <c r="L447" s="4"/>
      <c r="M447" s="4"/>
      <c r="N447" s="4"/>
    </row>
    <row r="448" spans="12:14" ht="13" x14ac:dyDescent="0.15">
      <c r="L448" s="4"/>
      <c r="M448" s="4"/>
      <c r="N448" s="4"/>
    </row>
    <row r="449" spans="12:14" ht="13" x14ac:dyDescent="0.15">
      <c r="L449" s="4"/>
      <c r="M449" s="4"/>
      <c r="N449" s="4"/>
    </row>
    <row r="450" spans="12:14" ht="13" x14ac:dyDescent="0.15">
      <c r="L450" s="4"/>
      <c r="M450" s="4"/>
      <c r="N450" s="4"/>
    </row>
    <row r="451" spans="12:14" ht="13" x14ac:dyDescent="0.15">
      <c r="L451" s="4"/>
      <c r="M451" s="4"/>
      <c r="N451" s="4"/>
    </row>
    <row r="452" spans="12:14" ht="13" x14ac:dyDescent="0.15">
      <c r="L452" s="4"/>
      <c r="M452" s="4"/>
      <c r="N452" s="4"/>
    </row>
    <row r="453" spans="12:14" ht="13" x14ac:dyDescent="0.15">
      <c r="L453" s="4"/>
      <c r="M453" s="4"/>
      <c r="N453" s="4"/>
    </row>
    <row r="454" spans="12:14" ht="13" x14ac:dyDescent="0.15">
      <c r="L454" s="4"/>
      <c r="M454" s="4"/>
      <c r="N454" s="4"/>
    </row>
    <row r="455" spans="12:14" ht="13" x14ac:dyDescent="0.15">
      <c r="L455" s="4"/>
      <c r="M455" s="4"/>
      <c r="N455" s="4"/>
    </row>
    <row r="456" spans="12:14" ht="13" x14ac:dyDescent="0.15">
      <c r="L456" s="4"/>
      <c r="M456" s="4"/>
      <c r="N456" s="4"/>
    </row>
    <row r="457" spans="12:14" ht="13" x14ac:dyDescent="0.15">
      <c r="L457" s="4"/>
      <c r="M457" s="4"/>
      <c r="N457" s="4"/>
    </row>
    <row r="458" spans="12:14" ht="13" x14ac:dyDescent="0.15">
      <c r="L458" s="4"/>
      <c r="M458" s="4"/>
      <c r="N458" s="4"/>
    </row>
    <row r="459" spans="12:14" ht="13" x14ac:dyDescent="0.15">
      <c r="L459" s="4"/>
      <c r="M459" s="4"/>
      <c r="N459" s="4"/>
    </row>
    <row r="460" spans="12:14" ht="13" x14ac:dyDescent="0.15">
      <c r="L460" s="4"/>
      <c r="M460" s="4"/>
      <c r="N460" s="4"/>
    </row>
    <row r="461" spans="12:14" ht="13" x14ac:dyDescent="0.15">
      <c r="L461" s="4"/>
      <c r="M461" s="4"/>
      <c r="N461" s="4"/>
    </row>
    <row r="462" spans="12:14" ht="13" x14ac:dyDescent="0.15">
      <c r="L462" s="4"/>
      <c r="M462" s="4"/>
      <c r="N462" s="4"/>
    </row>
    <row r="463" spans="12:14" ht="13" x14ac:dyDescent="0.15">
      <c r="L463" s="4"/>
      <c r="M463" s="4"/>
      <c r="N463" s="4"/>
    </row>
    <row r="464" spans="12:14" ht="13" x14ac:dyDescent="0.15">
      <c r="L464" s="4"/>
      <c r="M464" s="4"/>
      <c r="N464" s="4"/>
    </row>
    <row r="465" spans="12:14" ht="13" x14ac:dyDescent="0.15">
      <c r="L465" s="4"/>
      <c r="M465" s="4"/>
      <c r="N465" s="4"/>
    </row>
    <row r="466" spans="12:14" ht="13" x14ac:dyDescent="0.15">
      <c r="L466" s="4"/>
      <c r="M466" s="4"/>
      <c r="N466" s="4"/>
    </row>
    <row r="467" spans="12:14" ht="13" x14ac:dyDescent="0.15">
      <c r="L467" s="4"/>
      <c r="M467" s="4"/>
      <c r="N467" s="4"/>
    </row>
    <row r="468" spans="12:14" ht="13" x14ac:dyDescent="0.15">
      <c r="L468" s="4"/>
      <c r="M468" s="4"/>
      <c r="N468" s="4"/>
    </row>
    <row r="469" spans="12:14" ht="13" x14ac:dyDescent="0.15">
      <c r="L469" s="4"/>
      <c r="M469" s="4"/>
      <c r="N469" s="4"/>
    </row>
    <row r="470" spans="12:14" ht="13" x14ac:dyDescent="0.15">
      <c r="L470" s="4"/>
      <c r="M470" s="4"/>
      <c r="N470" s="4"/>
    </row>
    <row r="471" spans="12:14" ht="13" x14ac:dyDescent="0.15">
      <c r="L471" s="4"/>
      <c r="M471" s="4"/>
      <c r="N471" s="4"/>
    </row>
    <row r="472" spans="12:14" ht="13" x14ac:dyDescent="0.15">
      <c r="L472" s="4"/>
      <c r="M472" s="4"/>
      <c r="N472" s="4"/>
    </row>
    <row r="473" spans="12:14" ht="13" x14ac:dyDescent="0.15">
      <c r="L473" s="4"/>
      <c r="M473" s="4"/>
      <c r="N473" s="4"/>
    </row>
    <row r="474" spans="12:14" ht="13" x14ac:dyDescent="0.15">
      <c r="L474" s="4"/>
      <c r="M474" s="4"/>
      <c r="N474" s="4"/>
    </row>
    <row r="475" spans="12:14" ht="13" x14ac:dyDescent="0.15">
      <c r="L475" s="4"/>
      <c r="M475" s="4"/>
      <c r="N475" s="4"/>
    </row>
    <row r="476" spans="12:14" ht="13" x14ac:dyDescent="0.15">
      <c r="L476" s="4"/>
      <c r="M476" s="4"/>
      <c r="N476" s="4"/>
    </row>
    <row r="477" spans="12:14" ht="13" x14ac:dyDescent="0.15">
      <c r="L477" s="4"/>
      <c r="M477" s="4"/>
      <c r="N477" s="4"/>
    </row>
    <row r="478" spans="12:14" ht="13" x14ac:dyDescent="0.15">
      <c r="L478" s="4"/>
      <c r="M478" s="4"/>
      <c r="N478" s="4"/>
    </row>
    <row r="479" spans="12:14" ht="13" x14ac:dyDescent="0.15">
      <c r="L479" s="4"/>
      <c r="M479" s="4"/>
      <c r="N479" s="4"/>
    </row>
    <row r="480" spans="12:14" ht="13" x14ac:dyDescent="0.15">
      <c r="L480" s="4"/>
      <c r="M480" s="4"/>
      <c r="N480" s="4"/>
    </row>
    <row r="481" spans="12:14" ht="13" x14ac:dyDescent="0.15">
      <c r="L481" s="4"/>
      <c r="M481" s="4"/>
      <c r="N481" s="4"/>
    </row>
    <row r="482" spans="12:14" ht="13" x14ac:dyDescent="0.15">
      <c r="L482" s="4"/>
      <c r="M482" s="4"/>
      <c r="N482" s="4"/>
    </row>
    <row r="483" spans="12:14" ht="13" x14ac:dyDescent="0.15">
      <c r="L483" s="4"/>
      <c r="M483" s="4"/>
      <c r="N483" s="4"/>
    </row>
    <row r="484" spans="12:14" ht="13" x14ac:dyDescent="0.15">
      <c r="L484" s="4"/>
      <c r="M484" s="4"/>
      <c r="N484" s="4"/>
    </row>
    <row r="485" spans="12:14" ht="13" x14ac:dyDescent="0.15">
      <c r="L485" s="4"/>
      <c r="M485" s="4"/>
      <c r="N485" s="4"/>
    </row>
    <row r="486" spans="12:14" ht="13" x14ac:dyDescent="0.15">
      <c r="L486" s="4"/>
      <c r="M486" s="4"/>
      <c r="N486" s="4"/>
    </row>
    <row r="487" spans="12:14" ht="13" x14ac:dyDescent="0.15">
      <c r="L487" s="4"/>
      <c r="M487" s="4"/>
      <c r="N487" s="4"/>
    </row>
    <row r="488" spans="12:14" ht="13" x14ac:dyDescent="0.15">
      <c r="L488" s="4"/>
      <c r="M488" s="4"/>
      <c r="N488" s="4"/>
    </row>
    <row r="489" spans="12:14" ht="13" x14ac:dyDescent="0.15">
      <c r="L489" s="4"/>
      <c r="M489" s="4"/>
      <c r="N489" s="4"/>
    </row>
    <row r="490" spans="12:14" ht="13" x14ac:dyDescent="0.15">
      <c r="L490" s="4"/>
      <c r="M490" s="4"/>
      <c r="N490" s="4"/>
    </row>
    <row r="491" spans="12:14" ht="13" x14ac:dyDescent="0.15">
      <c r="L491" s="4"/>
      <c r="M491" s="4"/>
      <c r="N491" s="4"/>
    </row>
    <row r="492" spans="12:14" ht="13" x14ac:dyDescent="0.15">
      <c r="L492" s="4"/>
      <c r="M492" s="4"/>
      <c r="N492" s="4"/>
    </row>
    <row r="493" spans="12:14" ht="13" x14ac:dyDescent="0.15">
      <c r="L493" s="4"/>
      <c r="M493" s="4"/>
      <c r="N493" s="4"/>
    </row>
    <row r="494" spans="12:14" ht="13" x14ac:dyDescent="0.15">
      <c r="L494" s="4"/>
      <c r="M494" s="4"/>
      <c r="N494" s="4"/>
    </row>
    <row r="495" spans="12:14" ht="13" x14ac:dyDescent="0.15">
      <c r="L495" s="4"/>
      <c r="M495" s="4"/>
      <c r="N495" s="4"/>
    </row>
    <row r="496" spans="12:14" ht="13" x14ac:dyDescent="0.15">
      <c r="L496" s="4"/>
      <c r="M496" s="4"/>
      <c r="N496" s="4"/>
    </row>
    <row r="497" spans="12:14" ht="13" x14ac:dyDescent="0.15">
      <c r="L497" s="4"/>
      <c r="M497" s="4"/>
      <c r="N497" s="4"/>
    </row>
    <row r="498" spans="12:14" ht="13" x14ac:dyDescent="0.15">
      <c r="L498" s="4"/>
      <c r="M498" s="4"/>
      <c r="N498" s="4"/>
    </row>
    <row r="499" spans="12:14" ht="13" x14ac:dyDescent="0.15">
      <c r="L499" s="4"/>
      <c r="M499" s="4"/>
      <c r="N499" s="4"/>
    </row>
    <row r="500" spans="12:14" ht="13" x14ac:dyDescent="0.15">
      <c r="L500" s="4"/>
      <c r="M500" s="4"/>
      <c r="N500" s="4"/>
    </row>
    <row r="501" spans="12:14" ht="13" x14ac:dyDescent="0.15">
      <c r="L501" s="4"/>
      <c r="M501" s="4"/>
      <c r="N501" s="4"/>
    </row>
    <row r="502" spans="12:14" ht="13" x14ac:dyDescent="0.15">
      <c r="L502" s="4"/>
      <c r="M502" s="4"/>
      <c r="N502" s="4"/>
    </row>
    <row r="503" spans="12:14" ht="13" x14ac:dyDescent="0.15">
      <c r="L503" s="4"/>
      <c r="M503" s="4"/>
      <c r="N503" s="4"/>
    </row>
    <row r="504" spans="12:14" ht="13" x14ac:dyDescent="0.15">
      <c r="L504" s="4"/>
      <c r="M504" s="4"/>
      <c r="N504" s="4"/>
    </row>
    <row r="505" spans="12:14" ht="13" x14ac:dyDescent="0.15">
      <c r="L505" s="4"/>
      <c r="M505" s="4"/>
      <c r="N505" s="4"/>
    </row>
    <row r="506" spans="12:14" ht="13" x14ac:dyDescent="0.15">
      <c r="L506" s="4"/>
      <c r="M506" s="4"/>
      <c r="N506" s="4"/>
    </row>
    <row r="507" spans="12:14" ht="13" x14ac:dyDescent="0.15">
      <c r="L507" s="4"/>
      <c r="M507" s="4"/>
      <c r="N507" s="4"/>
    </row>
    <row r="508" spans="12:14" ht="13" x14ac:dyDescent="0.15">
      <c r="L508" s="4"/>
      <c r="M508" s="4"/>
      <c r="N508" s="4"/>
    </row>
    <row r="509" spans="12:14" ht="13" x14ac:dyDescent="0.15">
      <c r="L509" s="4"/>
      <c r="M509" s="4"/>
      <c r="N509" s="4"/>
    </row>
    <row r="510" spans="12:14" ht="13" x14ac:dyDescent="0.15">
      <c r="L510" s="4"/>
      <c r="M510" s="4"/>
      <c r="N510" s="4"/>
    </row>
    <row r="511" spans="12:14" ht="13" x14ac:dyDescent="0.15">
      <c r="L511" s="4"/>
      <c r="M511" s="4"/>
      <c r="N511" s="4"/>
    </row>
    <row r="512" spans="12:14" ht="13" x14ac:dyDescent="0.15">
      <c r="L512" s="4"/>
      <c r="M512" s="4"/>
      <c r="N512" s="4"/>
    </row>
    <row r="513" spans="12:14" ht="13" x14ac:dyDescent="0.15">
      <c r="L513" s="4"/>
      <c r="M513" s="4"/>
      <c r="N513" s="4"/>
    </row>
    <row r="514" spans="12:14" ht="13" x14ac:dyDescent="0.15">
      <c r="L514" s="4"/>
      <c r="M514" s="4"/>
      <c r="N514" s="4"/>
    </row>
    <row r="515" spans="12:14" ht="13" x14ac:dyDescent="0.15">
      <c r="L515" s="4"/>
      <c r="M515" s="4"/>
      <c r="N515" s="4"/>
    </row>
    <row r="516" spans="12:14" ht="13" x14ac:dyDescent="0.15">
      <c r="L516" s="4"/>
      <c r="M516" s="4"/>
      <c r="N516" s="4"/>
    </row>
    <row r="517" spans="12:14" ht="13" x14ac:dyDescent="0.15">
      <c r="L517" s="4"/>
      <c r="M517" s="4"/>
      <c r="N517" s="4"/>
    </row>
    <row r="518" spans="12:14" ht="13" x14ac:dyDescent="0.15">
      <c r="L518" s="4"/>
      <c r="M518" s="4"/>
      <c r="N518" s="4"/>
    </row>
    <row r="519" spans="12:14" ht="13" x14ac:dyDescent="0.15">
      <c r="L519" s="4"/>
      <c r="M519" s="4"/>
      <c r="N519" s="4"/>
    </row>
    <row r="520" spans="12:14" ht="13" x14ac:dyDescent="0.15">
      <c r="L520" s="4"/>
      <c r="M520" s="4"/>
      <c r="N520" s="4"/>
    </row>
    <row r="521" spans="12:14" ht="13" x14ac:dyDescent="0.15">
      <c r="L521" s="4"/>
      <c r="M521" s="4"/>
      <c r="N521" s="4"/>
    </row>
    <row r="522" spans="12:14" ht="13" x14ac:dyDescent="0.15">
      <c r="L522" s="4"/>
      <c r="M522" s="4"/>
      <c r="N522" s="4"/>
    </row>
    <row r="523" spans="12:14" ht="13" x14ac:dyDescent="0.15">
      <c r="L523" s="4"/>
      <c r="M523" s="4"/>
      <c r="N523" s="4"/>
    </row>
    <row r="524" spans="12:14" ht="13" x14ac:dyDescent="0.15">
      <c r="L524" s="4"/>
      <c r="M524" s="4"/>
      <c r="N524" s="4"/>
    </row>
    <row r="525" spans="12:14" ht="13" x14ac:dyDescent="0.15">
      <c r="L525" s="4"/>
      <c r="M525" s="4"/>
      <c r="N525" s="4"/>
    </row>
    <row r="526" spans="12:14" ht="13" x14ac:dyDescent="0.15">
      <c r="L526" s="4"/>
      <c r="M526" s="4"/>
      <c r="N526" s="4"/>
    </row>
    <row r="527" spans="12:14" ht="13" x14ac:dyDescent="0.15">
      <c r="L527" s="4"/>
      <c r="M527" s="4"/>
      <c r="N527" s="4"/>
    </row>
    <row r="528" spans="12:14" ht="13" x14ac:dyDescent="0.15">
      <c r="L528" s="4"/>
      <c r="M528" s="4"/>
      <c r="N528" s="4"/>
    </row>
    <row r="529" spans="12:14" ht="13" x14ac:dyDescent="0.15">
      <c r="L529" s="4"/>
      <c r="M529" s="4"/>
      <c r="N529" s="4"/>
    </row>
    <row r="530" spans="12:14" ht="13" x14ac:dyDescent="0.15">
      <c r="L530" s="4"/>
      <c r="M530" s="4"/>
      <c r="N530" s="4"/>
    </row>
    <row r="531" spans="12:14" ht="13" x14ac:dyDescent="0.15">
      <c r="L531" s="4"/>
      <c r="M531" s="4"/>
      <c r="N531" s="4"/>
    </row>
    <row r="532" spans="12:14" ht="13" x14ac:dyDescent="0.15">
      <c r="L532" s="4"/>
      <c r="M532" s="4"/>
      <c r="N532" s="4"/>
    </row>
    <row r="533" spans="12:14" ht="13" x14ac:dyDescent="0.15">
      <c r="L533" s="4"/>
      <c r="M533" s="4"/>
      <c r="N533" s="4"/>
    </row>
    <row r="534" spans="12:14" ht="13" x14ac:dyDescent="0.15">
      <c r="L534" s="4"/>
      <c r="M534" s="4"/>
      <c r="N534" s="4"/>
    </row>
    <row r="535" spans="12:14" ht="13" x14ac:dyDescent="0.15">
      <c r="L535" s="4"/>
      <c r="M535" s="4"/>
      <c r="N535" s="4"/>
    </row>
    <row r="536" spans="12:14" ht="13" x14ac:dyDescent="0.15">
      <c r="L536" s="4"/>
      <c r="M536" s="4"/>
      <c r="N536" s="4"/>
    </row>
    <row r="537" spans="12:14" ht="13" x14ac:dyDescent="0.15">
      <c r="L537" s="4"/>
      <c r="M537" s="4"/>
      <c r="N537" s="4"/>
    </row>
    <row r="538" spans="12:14" ht="13" x14ac:dyDescent="0.15">
      <c r="L538" s="4"/>
      <c r="M538" s="4"/>
      <c r="N538" s="4"/>
    </row>
    <row r="539" spans="12:14" ht="13" x14ac:dyDescent="0.15">
      <c r="L539" s="4"/>
      <c r="M539" s="4"/>
      <c r="N539" s="4"/>
    </row>
    <row r="540" spans="12:14" ht="13" x14ac:dyDescent="0.15">
      <c r="L540" s="4"/>
      <c r="M540" s="4"/>
      <c r="N540" s="4"/>
    </row>
    <row r="541" spans="12:14" ht="13" x14ac:dyDescent="0.15">
      <c r="L541" s="4"/>
      <c r="M541" s="4"/>
      <c r="N541" s="4"/>
    </row>
    <row r="542" spans="12:14" ht="13" x14ac:dyDescent="0.15">
      <c r="L542" s="4"/>
      <c r="M542" s="4"/>
      <c r="N542" s="4"/>
    </row>
    <row r="543" spans="12:14" ht="13" x14ac:dyDescent="0.15">
      <c r="L543" s="4"/>
      <c r="M543" s="4"/>
      <c r="N543" s="4"/>
    </row>
    <row r="544" spans="12:14" ht="13" x14ac:dyDescent="0.15">
      <c r="L544" s="4"/>
      <c r="M544" s="4"/>
      <c r="N544" s="4"/>
    </row>
    <row r="545" spans="12:14" ht="13" x14ac:dyDescent="0.15">
      <c r="L545" s="4"/>
      <c r="M545" s="4"/>
      <c r="N545" s="4"/>
    </row>
    <row r="546" spans="12:14" ht="13" x14ac:dyDescent="0.15">
      <c r="L546" s="4"/>
      <c r="M546" s="4"/>
      <c r="N546" s="4"/>
    </row>
    <row r="547" spans="12:14" ht="13" x14ac:dyDescent="0.15">
      <c r="L547" s="4"/>
      <c r="M547" s="4"/>
      <c r="N547" s="4"/>
    </row>
    <row r="548" spans="12:14" ht="13" x14ac:dyDescent="0.15">
      <c r="L548" s="4"/>
      <c r="M548" s="4"/>
      <c r="N548" s="4"/>
    </row>
    <row r="549" spans="12:14" ht="13" x14ac:dyDescent="0.15">
      <c r="L549" s="4"/>
      <c r="M549" s="4"/>
      <c r="N549" s="4"/>
    </row>
    <row r="550" spans="12:14" ht="13" x14ac:dyDescent="0.15">
      <c r="L550" s="4"/>
      <c r="M550" s="4"/>
      <c r="N550" s="4"/>
    </row>
    <row r="551" spans="12:14" ht="13" x14ac:dyDescent="0.15">
      <c r="L551" s="4"/>
      <c r="M551" s="4"/>
      <c r="N551" s="4"/>
    </row>
    <row r="552" spans="12:14" ht="13" x14ac:dyDescent="0.15">
      <c r="L552" s="4"/>
      <c r="M552" s="4"/>
      <c r="N552" s="4"/>
    </row>
    <row r="553" spans="12:14" ht="13" x14ac:dyDescent="0.15">
      <c r="L553" s="4"/>
      <c r="M553" s="4"/>
      <c r="N553" s="4"/>
    </row>
    <row r="554" spans="12:14" ht="13" x14ac:dyDescent="0.15">
      <c r="L554" s="4"/>
      <c r="M554" s="4"/>
      <c r="N554" s="4"/>
    </row>
    <row r="555" spans="12:14" ht="13" x14ac:dyDescent="0.15">
      <c r="L555" s="4"/>
      <c r="M555" s="4"/>
      <c r="N555" s="4"/>
    </row>
    <row r="556" spans="12:14" ht="13" x14ac:dyDescent="0.15">
      <c r="L556" s="4"/>
      <c r="M556" s="4"/>
      <c r="N556" s="4"/>
    </row>
    <row r="557" spans="12:14" ht="13" x14ac:dyDescent="0.15">
      <c r="L557" s="4"/>
      <c r="M557" s="4"/>
      <c r="N557" s="4"/>
    </row>
    <row r="558" spans="12:14" ht="13" x14ac:dyDescent="0.15">
      <c r="L558" s="4"/>
      <c r="M558" s="4"/>
      <c r="N558" s="4"/>
    </row>
    <row r="559" spans="12:14" ht="13" x14ac:dyDescent="0.15">
      <c r="L559" s="4"/>
      <c r="M559" s="4"/>
      <c r="N559" s="4"/>
    </row>
    <row r="560" spans="12:14" ht="13" x14ac:dyDescent="0.15">
      <c r="L560" s="4"/>
      <c r="M560" s="4"/>
      <c r="N560" s="4"/>
    </row>
    <row r="561" spans="12:14" ht="13" x14ac:dyDescent="0.15">
      <c r="L561" s="4"/>
      <c r="M561" s="4"/>
      <c r="N561" s="4"/>
    </row>
    <row r="562" spans="12:14" ht="13" x14ac:dyDescent="0.15">
      <c r="L562" s="4"/>
      <c r="M562" s="4"/>
      <c r="N562" s="4"/>
    </row>
    <row r="563" spans="12:14" ht="13" x14ac:dyDescent="0.15">
      <c r="L563" s="4"/>
      <c r="M563" s="4"/>
      <c r="N563" s="4"/>
    </row>
    <row r="564" spans="12:14" ht="13" x14ac:dyDescent="0.15">
      <c r="L564" s="4"/>
      <c r="M564" s="4"/>
      <c r="N564" s="4"/>
    </row>
    <row r="565" spans="12:14" ht="13" x14ac:dyDescent="0.15">
      <c r="L565" s="4"/>
      <c r="M565" s="4"/>
      <c r="N565" s="4"/>
    </row>
    <row r="566" spans="12:14" ht="13" x14ac:dyDescent="0.15">
      <c r="L566" s="4"/>
      <c r="M566" s="4"/>
      <c r="N566" s="4"/>
    </row>
    <row r="567" spans="12:14" ht="13" x14ac:dyDescent="0.15">
      <c r="L567" s="4"/>
      <c r="M567" s="4"/>
      <c r="N567" s="4"/>
    </row>
    <row r="568" spans="12:14" ht="13" x14ac:dyDescent="0.15">
      <c r="L568" s="4"/>
      <c r="M568" s="4"/>
      <c r="N568" s="4"/>
    </row>
    <row r="569" spans="12:14" ht="13" x14ac:dyDescent="0.15">
      <c r="L569" s="4"/>
      <c r="M569" s="4"/>
      <c r="N569" s="4"/>
    </row>
    <row r="570" spans="12:14" ht="13" x14ac:dyDescent="0.15">
      <c r="L570" s="4"/>
      <c r="M570" s="4"/>
      <c r="N570" s="4"/>
    </row>
    <row r="571" spans="12:14" ht="13" x14ac:dyDescent="0.15">
      <c r="L571" s="4"/>
      <c r="M571" s="4"/>
      <c r="N571" s="4"/>
    </row>
    <row r="572" spans="12:14" ht="13" x14ac:dyDescent="0.15">
      <c r="L572" s="4"/>
      <c r="M572" s="4"/>
      <c r="N572" s="4"/>
    </row>
    <row r="573" spans="12:14" ht="13" x14ac:dyDescent="0.15">
      <c r="L573" s="4"/>
      <c r="M573" s="4"/>
      <c r="N573" s="4"/>
    </row>
    <row r="574" spans="12:14" ht="13" x14ac:dyDescent="0.15">
      <c r="L574" s="4"/>
      <c r="M574" s="4"/>
      <c r="N574" s="4"/>
    </row>
    <row r="575" spans="12:14" ht="13" x14ac:dyDescent="0.15">
      <c r="L575" s="4"/>
      <c r="M575" s="4"/>
      <c r="N575" s="4"/>
    </row>
    <row r="576" spans="12:14" ht="13" x14ac:dyDescent="0.15">
      <c r="L576" s="4"/>
      <c r="M576" s="4"/>
      <c r="N576" s="4"/>
    </row>
    <row r="577" spans="12:14" ht="13" x14ac:dyDescent="0.15">
      <c r="L577" s="4"/>
      <c r="M577" s="4"/>
      <c r="N577" s="4"/>
    </row>
    <row r="578" spans="12:14" ht="13" x14ac:dyDescent="0.15">
      <c r="L578" s="4"/>
      <c r="M578" s="4"/>
      <c r="N578" s="4"/>
    </row>
    <row r="579" spans="12:14" ht="13" x14ac:dyDescent="0.15">
      <c r="L579" s="4"/>
      <c r="M579" s="4"/>
      <c r="N579" s="4"/>
    </row>
    <row r="580" spans="12:14" ht="13" x14ac:dyDescent="0.15">
      <c r="L580" s="4"/>
      <c r="M580" s="4"/>
      <c r="N580" s="4"/>
    </row>
    <row r="581" spans="12:14" ht="13" x14ac:dyDescent="0.15">
      <c r="L581" s="4"/>
      <c r="M581" s="4"/>
      <c r="N581" s="4"/>
    </row>
    <row r="582" spans="12:14" ht="13" x14ac:dyDescent="0.15">
      <c r="L582" s="4"/>
      <c r="M582" s="4"/>
      <c r="N582" s="4"/>
    </row>
    <row r="583" spans="12:14" ht="13" x14ac:dyDescent="0.15">
      <c r="L583" s="4"/>
      <c r="M583" s="4"/>
      <c r="N583" s="4"/>
    </row>
    <row r="584" spans="12:14" ht="13" x14ac:dyDescent="0.15">
      <c r="L584" s="4"/>
      <c r="M584" s="4"/>
      <c r="N584" s="4"/>
    </row>
    <row r="585" spans="12:14" ht="13" x14ac:dyDescent="0.15">
      <c r="L585" s="4"/>
      <c r="M585" s="4"/>
      <c r="N585" s="4"/>
    </row>
    <row r="586" spans="12:14" ht="13" x14ac:dyDescent="0.15">
      <c r="L586" s="4"/>
      <c r="M586" s="4"/>
      <c r="N586" s="4"/>
    </row>
    <row r="587" spans="12:14" ht="13" x14ac:dyDescent="0.15">
      <c r="L587" s="4"/>
      <c r="M587" s="4"/>
      <c r="N587" s="4"/>
    </row>
    <row r="588" spans="12:14" ht="13" x14ac:dyDescent="0.15">
      <c r="L588" s="4"/>
      <c r="M588" s="4"/>
      <c r="N588" s="4"/>
    </row>
    <row r="589" spans="12:14" ht="13" x14ac:dyDescent="0.15">
      <c r="L589" s="4"/>
      <c r="M589" s="4"/>
      <c r="N589" s="4"/>
    </row>
    <row r="590" spans="12:14" ht="13" x14ac:dyDescent="0.15">
      <c r="L590" s="4"/>
      <c r="M590" s="4"/>
      <c r="N590" s="4"/>
    </row>
    <row r="591" spans="12:14" ht="13" x14ac:dyDescent="0.15">
      <c r="L591" s="4"/>
      <c r="M591" s="4"/>
      <c r="N591" s="4"/>
    </row>
    <row r="592" spans="12:14" ht="13" x14ac:dyDescent="0.15">
      <c r="L592" s="4"/>
      <c r="M592" s="4"/>
      <c r="N592" s="4"/>
    </row>
    <row r="593" spans="12:14" ht="13" x14ac:dyDescent="0.15">
      <c r="L593" s="4"/>
      <c r="M593" s="4"/>
      <c r="N593" s="4"/>
    </row>
    <row r="594" spans="12:14" ht="13" x14ac:dyDescent="0.15">
      <c r="L594" s="4"/>
      <c r="M594" s="4"/>
      <c r="N594" s="4"/>
    </row>
    <row r="595" spans="12:14" ht="13" x14ac:dyDescent="0.15">
      <c r="L595" s="4"/>
      <c r="M595" s="4"/>
      <c r="N595" s="4"/>
    </row>
    <row r="596" spans="12:14" ht="13" x14ac:dyDescent="0.15">
      <c r="L596" s="4"/>
      <c r="M596" s="4"/>
      <c r="N596" s="4"/>
    </row>
    <row r="597" spans="12:14" ht="13" x14ac:dyDescent="0.15">
      <c r="L597" s="4"/>
      <c r="M597" s="4"/>
      <c r="N597" s="4"/>
    </row>
    <row r="598" spans="12:14" ht="13" x14ac:dyDescent="0.15">
      <c r="L598" s="4"/>
      <c r="M598" s="4"/>
      <c r="N598" s="4"/>
    </row>
    <row r="599" spans="12:14" ht="13" x14ac:dyDescent="0.15">
      <c r="L599" s="4"/>
      <c r="M599" s="4"/>
      <c r="N599" s="4"/>
    </row>
    <row r="600" spans="12:14" ht="13" x14ac:dyDescent="0.15">
      <c r="L600" s="4"/>
      <c r="M600" s="4"/>
      <c r="N600" s="4"/>
    </row>
    <row r="601" spans="12:14" ht="13" x14ac:dyDescent="0.15">
      <c r="L601" s="4"/>
      <c r="M601" s="4"/>
      <c r="N601" s="4"/>
    </row>
    <row r="602" spans="12:14" ht="13" x14ac:dyDescent="0.15">
      <c r="L602" s="4"/>
      <c r="M602" s="4"/>
      <c r="N602" s="4"/>
    </row>
    <row r="603" spans="12:14" ht="13" x14ac:dyDescent="0.15">
      <c r="L603" s="4"/>
      <c r="M603" s="4"/>
      <c r="N603" s="4"/>
    </row>
    <row r="604" spans="12:14" ht="13" x14ac:dyDescent="0.15">
      <c r="L604" s="4"/>
      <c r="M604" s="4"/>
      <c r="N604" s="4"/>
    </row>
    <row r="605" spans="12:14" ht="13" x14ac:dyDescent="0.15">
      <c r="L605" s="4"/>
      <c r="M605" s="4"/>
      <c r="N605" s="4"/>
    </row>
    <row r="606" spans="12:14" ht="13" x14ac:dyDescent="0.15">
      <c r="L606" s="4"/>
      <c r="M606" s="4"/>
      <c r="N606" s="4"/>
    </row>
    <row r="607" spans="12:14" ht="13" x14ac:dyDescent="0.15">
      <c r="L607" s="4"/>
      <c r="M607" s="4"/>
      <c r="N607" s="4"/>
    </row>
    <row r="608" spans="12:14" ht="13" x14ac:dyDescent="0.15">
      <c r="L608" s="4"/>
      <c r="M608" s="4"/>
      <c r="N608" s="4"/>
    </row>
    <row r="609" spans="12:14" ht="13" x14ac:dyDescent="0.15">
      <c r="L609" s="4"/>
      <c r="M609" s="4"/>
      <c r="N609" s="4"/>
    </row>
    <row r="610" spans="12:14" ht="13" x14ac:dyDescent="0.15">
      <c r="L610" s="4"/>
      <c r="M610" s="4"/>
      <c r="N610" s="4"/>
    </row>
    <row r="611" spans="12:14" ht="13" x14ac:dyDescent="0.15">
      <c r="L611" s="4"/>
      <c r="M611" s="4"/>
      <c r="N611" s="4"/>
    </row>
    <row r="612" spans="12:14" ht="13" x14ac:dyDescent="0.15">
      <c r="L612" s="4"/>
      <c r="M612" s="4"/>
      <c r="N612" s="4"/>
    </row>
    <row r="613" spans="12:14" ht="13" x14ac:dyDescent="0.15">
      <c r="L613" s="4"/>
      <c r="M613" s="4"/>
      <c r="N613" s="4"/>
    </row>
    <row r="614" spans="12:14" ht="13" x14ac:dyDescent="0.15">
      <c r="L614" s="4"/>
      <c r="M614" s="4"/>
      <c r="N614" s="4"/>
    </row>
    <row r="615" spans="12:14" ht="13" x14ac:dyDescent="0.15">
      <c r="L615" s="4"/>
      <c r="M615" s="4"/>
      <c r="N615" s="4"/>
    </row>
    <row r="616" spans="12:14" ht="13" x14ac:dyDescent="0.15">
      <c r="L616" s="4"/>
      <c r="M616" s="4"/>
      <c r="N616" s="4"/>
    </row>
    <row r="617" spans="12:14" ht="13" x14ac:dyDescent="0.15">
      <c r="L617" s="4"/>
      <c r="M617" s="4"/>
      <c r="N617" s="4"/>
    </row>
    <row r="618" spans="12:14" ht="13" x14ac:dyDescent="0.15">
      <c r="L618" s="4"/>
      <c r="M618" s="4"/>
      <c r="N618" s="4"/>
    </row>
    <row r="619" spans="12:14" ht="13" x14ac:dyDescent="0.15">
      <c r="L619" s="4"/>
      <c r="M619" s="4"/>
      <c r="N619" s="4"/>
    </row>
    <row r="620" spans="12:14" ht="13" x14ac:dyDescent="0.15">
      <c r="L620" s="4"/>
      <c r="M620" s="4"/>
      <c r="N620" s="4"/>
    </row>
    <row r="621" spans="12:14" ht="13" x14ac:dyDescent="0.15">
      <c r="L621" s="4"/>
      <c r="M621" s="4"/>
      <c r="N621" s="4"/>
    </row>
    <row r="622" spans="12:14" ht="13" x14ac:dyDescent="0.15">
      <c r="L622" s="4"/>
      <c r="M622" s="4"/>
      <c r="N622" s="4"/>
    </row>
    <row r="623" spans="12:14" ht="13" x14ac:dyDescent="0.15">
      <c r="L623" s="4"/>
      <c r="M623" s="4"/>
      <c r="N623" s="4"/>
    </row>
    <row r="624" spans="12:14" ht="13" x14ac:dyDescent="0.15">
      <c r="L624" s="4"/>
      <c r="M624" s="4"/>
      <c r="N624" s="4"/>
    </row>
    <row r="625" spans="12:14" ht="13" x14ac:dyDescent="0.15">
      <c r="L625" s="4"/>
      <c r="M625" s="4"/>
      <c r="N625" s="4"/>
    </row>
    <row r="626" spans="12:14" ht="13" x14ac:dyDescent="0.15">
      <c r="L626" s="4"/>
      <c r="M626" s="4"/>
      <c r="N626" s="4"/>
    </row>
    <row r="627" spans="12:14" ht="13" x14ac:dyDescent="0.15">
      <c r="L627" s="4"/>
      <c r="M627" s="4"/>
      <c r="N627" s="4"/>
    </row>
    <row r="628" spans="12:14" ht="13" x14ac:dyDescent="0.15">
      <c r="L628" s="4"/>
      <c r="M628" s="4"/>
      <c r="N628" s="4"/>
    </row>
    <row r="629" spans="12:14" ht="13" x14ac:dyDescent="0.15">
      <c r="L629" s="4"/>
      <c r="M629" s="4"/>
      <c r="N629" s="4"/>
    </row>
    <row r="630" spans="12:14" ht="13" x14ac:dyDescent="0.15">
      <c r="L630" s="4"/>
      <c r="M630" s="4"/>
      <c r="N630" s="4"/>
    </row>
    <row r="631" spans="12:14" ht="13" x14ac:dyDescent="0.15">
      <c r="L631" s="4"/>
      <c r="M631" s="4"/>
      <c r="N631" s="4"/>
    </row>
    <row r="632" spans="12:14" ht="13" x14ac:dyDescent="0.15">
      <c r="L632" s="4"/>
      <c r="M632" s="4"/>
      <c r="N632" s="4"/>
    </row>
    <row r="633" spans="12:14" ht="13" x14ac:dyDescent="0.15">
      <c r="L633" s="4"/>
      <c r="M633" s="4"/>
      <c r="N633" s="4"/>
    </row>
    <row r="634" spans="12:14" ht="13" x14ac:dyDescent="0.15">
      <c r="L634" s="4"/>
      <c r="M634" s="4"/>
      <c r="N634" s="4"/>
    </row>
    <row r="635" spans="12:14" ht="13" x14ac:dyDescent="0.15">
      <c r="L635" s="4"/>
      <c r="M635" s="4"/>
      <c r="N635" s="4"/>
    </row>
    <row r="636" spans="12:14" ht="13" x14ac:dyDescent="0.15">
      <c r="L636" s="4"/>
      <c r="M636" s="4"/>
      <c r="N636" s="4"/>
    </row>
    <row r="637" spans="12:14" ht="13" x14ac:dyDescent="0.15">
      <c r="L637" s="4"/>
      <c r="M637" s="4"/>
      <c r="N637" s="4"/>
    </row>
    <row r="638" spans="12:14" ht="13" x14ac:dyDescent="0.15">
      <c r="L638" s="4"/>
      <c r="M638" s="4"/>
      <c r="N638" s="4"/>
    </row>
    <row r="639" spans="12:14" ht="13" x14ac:dyDescent="0.15">
      <c r="L639" s="4"/>
      <c r="M639" s="4"/>
      <c r="N639" s="4"/>
    </row>
    <row r="640" spans="12:14" ht="13" x14ac:dyDescent="0.15">
      <c r="L640" s="4"/>
      <c r="M640" s="4"/>
      <c r="N640" s="4"/>
    </row>
    <row r="641" spans="12:14" ht="13" x14ac:dyDescent="0.15">
      <c r="L641" s="4"/>
      <c r="M641" s="4"/>
      <c r="N641" s="4"/>
    </row>
    <row r="642" spans="12:14" ht="13" x14ac:dyDescent="0.15">
      <c r="L642" s="4"/>
      <c r="M642" s="4"/>
      <c r="N642" s="4"/>
    </row>
    <row r="643" spans="12:14" ht="13" x14ac:dyDescent="0.15">
      <c r="L643" s="4"/>
      <c r="M643" s="4"/>
      <c r="N643" s="4"/>
    </row>
    <row r="644" spans="12:14" ht="13" x14ac:dyDescent="0.15">
      <c r="L644" s="4"/>
      <c r="M644" s="4"/>
      <c r="N644" s="4"/>
    </row>
    <row r="645" spans="12:14" ht="13" x14ac:dyDescent="0.15">
      <c r="L645" s="4"/>
      <c r="M645" s="4"/>
      <c r="N645" s="4"/>
    </row>
    <row r="646" spans="12:14" ht="13" x14ac:dyDescent="0.15">
      <c r="L646" s="4"/>
      <c r="M646" s="4"/>
      <c r="N646" s="4"/>
    </row>
    <row r="647" spans="12:14" ht="13" x14ac:dyDescent="0.15">
      <c r="L647" s="4"/>
      <c r="M647" s="4"/>
      <c r="N647" s="4"/>
    </row>
    <row r="648" spans="12:14" ht="13" x14ac:dyDescent="0.15">
      <c r="L648" s="4"/>
      <c r="M648" s="4"/>
      <c r="N648" s="4"/>
    </row>
    <row r="649" spans="12:14" ht="13" x14ac:dyDescent="0.15">
      <c r="L649" s="4"/>
      <c r="M649" s="4"/>
      <c r="N649" s="4"/>
    </row>
    <row r="650" spans="12:14" ht="13" x14ac:dyDescent="0.15">
      <c r="L650" s="4"/>
      <c r="M650" s="4"/>
      <c r="N650" s="4"/>
    </row>
    <row r="651" spans="12:14" ht="13" x14ac:dyDescent="0.15">
      <c r="L651" s="4"/>
      <c r="M651" s="4"/>
      <c r="N651" s="4"/>
    </row>
    <row r="652" spans="12:14" ht="13" x14ac:dyDescent="0.15">
      <c r="L652" s="4"/>
      <c r="M652" s="4"/>
      <c r="N652" s="4"/>
    </row>
    <row r="653" spans="12:14" ht="13" x14ac:dyDescent="0.15">
      <c r="L653" s="4"/>
      <c r="M653" s="4"/>
      <c r="N653" s="4"/>
    </row>
    <row r="654" spans="12:14" ht="13" x14ac:dyDescent="0.15">
      <c r="L654" s="4"/>
      <c r="M654" s="4"/>
      <c r="N654" s="4"/>
    </row>
    <row r="655" spans="12:14" ht="13" x14ac:dyDescent="0.15">
      <c r="L655" s="4"/>
      <c r="M655" s="4"/>
      <c r="N655" s="4"/>
    </row>
    <row r="656" spans="12:14" ht="13" x14ac:dyDescent="0.15">
      <c r="L656" s="4"/>
      <c r="M656" s="4"/>
      <c r="N656" s="4"/>
    </row>
    <row r="657" spans="12:14" ht="13" x14ac:dyDescent="0.15">
      <c r="L657" s="4"/>
      <c r="M657" s="4"/>
      <c r="N657" s="4"/>
    </row>
    <row r="658" spans="12:14" ht="13" x14ac:dyDescent="0.15">
      <c r="L658" s="4"/>
      <c r="M658" s="4"/>
      <c r="N658" s="4"/>
    </row>
    <row r="659" spans="12:14" ht="13" x14ac:dyDescent="0.15">
      <c r="L659" s="4"/>
      <c r="M659" s="4"/>
      <c r="N659" s="4"/>
    </row>
    <row r="660" spans="12:14" ht="13" x14ac:dyDescent="0.15">
      <c r="L660" s="4"/>
      <c r="M660" s="4"/>
      <c r="N660" s="4"/>
    </row>
    <row r="661" spans="12:14" ht="13" x14ac:dyDescent="0.15">
      <c r="L661" s="4"/>
      <c r="M661" s="4"/>
      <c r="N661" s="4"/>
    </row>
    <row r="662" spans="12:14" ht="13" x14ac:dyDescent="0.15">
      <c r="L662" s="4"/>
      <c r="M662" s="4"/>
      <c r="N662" s="4"/>
    </row>
    <row r="663" spans="12:14" ht="13" x14ac:dyDescent="0.15">
      <c r="L663" s="4"/>
      <c r="M663" s="4"/>
      <c r="N663" s="4"/>
    </row>
    <row r="664" spans="12:14" ht="13" x14ac:dyDescent="0.15">
      <c r="L664" s="4"/>
      <c r="M664" s="4"/>
      <c r="N664" s="4"/>
    </row>
    <row r="665" spans="12:14" ht="13" x14ac:dyDescent="0.15">
      <c r="L665" s="4"/>
      <c r="M665" s="4"/>
      <c r="N665" s="4"/>
    </row>
    <row r="666" spans="12:14" ht="13" x14ac:dyDescent="0.15">
      <c r="L666" s="4"/>
      <c r="M666" s="4"/>
      <c r="N666" s="4"/>
    </row>
    <row r="667" spans="12:14" ht="13" x14ac:dyDescent="0.15">
      <c r="L667" s="4"/>
      <c r="M667" s="4"/>
      <c r="N667" s="4"/>
    </row>
    <row r="668" spans="12:14" ht="13" x14ac:dyDescent="0.15">
      <c r="L668" s="4"/>
      <c r="M668" s="4"/>
      <c r="N668" s="4"/>
    </row>
    <row r="669" spans="12:14" ht="13" x14ac:dyDescent="0.15">
      <c r="L669" s="4"/>
      <c r="M669" s="4"/>
      <c r="N669" s="4"/>
    </row>
    <row r="670" spans="12:14" ht="13" x14ac:dyDescent="0.15">
      <c r="L670" s="4"/>
      <c r="M670" s="4"/>
      <c r="N670" s="4"/>
    </row>
    <row r="671" spans="12:14" ht="13" x14ac:dyDescent="0.15">
      <c r="L671" s="4"/>
      <c r="M671" s="4"/>
      <c r="N671" s="4"/>
    </row>
    <row r="672" spans="12:14" ht="13" x14ac:dyDescent="0.15">
      <c r="L672" s="4"/>
      <c r="M672" s="4"/>
      <c r="N672" s="4"/>
    </row>
    <row r="673" spans="12:14" ht="13" x14ac:dyDescent="0.15">
      <c r="L673" s="4"/>
      <c r="M673" s="4"/>
      <c r="N673" s="4"/>
    </row>
    <row r="674" spans="12:14" ht="13" x14ac:dyDescent="0.15">
      <c r="L674" s="4"/>
      <c r="M674" s="4"/>
      <c r="N674" s="4"/>
    </row>
    <row r="675" spans="12:14" ht="13" x14ac:dyDescent="0.15">
      <c r="L675" s="4"/>
      <c r="M675" s="4"/>
      <c r="N675" s="4"/>
    </row>
    <row r="676" spans="12:14" ht="13" x14ac:dyDescent="0.15">
      <c r="L676" s="4"/>
      <c r="M676" s="4"/>
      <c r="N676" s="4"/>
    </row>
    <row r="677" spans="12:14" ht="13" x14ac:dyDescent="0.15">
      <c r="L677" s="4"/>
      <c r="M677" s="4"/>
      <c r="N677" s="4"/>
    </row>
    <row r="678" spans="12:14" ht="13" x14ac:dyDescent="0.15">
      <c r="L678" s="4"/>
      <c r="M678" s="4"/>
      <c r="N678" s="4"/>
    </row>
    <row r="679" spans="12:14" ht="13" x14ac:dyDescent="0.15">
      <c r="L679" s="4"/>
      <c r="M679" s="4"/>
      <c r="N679" s="4"/>
    </row>
    <row r="680" spans="12:14" ht="13" x14ac:dyDescent="0.15">
      <c r="L680" s="4"/>
      <c r="M680" s="4"/>
      <c r="N680" s="4"/>
    </row>
    <row r="681" spans="12:14" ht="13" x14ac:dyDescent="0.15">
      <c r="L681" s="4"/>
      <c r="M681" s="4"/>
      <c r="N681" s="4"/>
    </row>
    <row r="682" spans="12:14" ht="13" x14ac:dyDescent="0.15">
      <c r="L682" s="4"/>
      <c r="M682" s="4"/>
      <c r="N682" s="4"/>
    </row>
    <row r="683" spans="12:14" ht="13" x14ac:dyDescent="0.15">
      <c r="L683" s="4"/>
      <c r="M683" s="4"/>
      <c r="N683" s="4"/>
    </row>
    <row r="684" spans="12:14" ht="13" x14ac:dyDescent="0.15">
      <c r="L684" s="4"/>
      <c r="M684" s="4"/>
      <c r="N684" s="4"/>
    </row>
    <row r="685" spans="12:14" ht="13" x14ac:dyDescent="0.15">
      <c r="L685" s="4"/>
      <c r="M685" s="4"/>
      <c r="N685" s="4"/>
    </row>
    <row r="686" spans="12:14" ht="13" x14ac:dyDescent="0.15">
      <c r="L686" s="4"/>
      <c r="M686" s="4"/>
      <c r="N686" s="4"/>
    </row>
    <row r="687" spans="12:14" ht="13" x14ac:dyDescent="0.15">
      <c r="L687" s="4"/>
      <c r="M687" s="4"/>
      <c r="N687" s="4"/>
    </row>
    <row r="688" spans="12:14" ht="13" x14ac:dyDescent="0.15">
      <c r="L688" s="4"/>
      <c r="M688" s="4"/>
      <c r="N688" s="4"/>
    </row>
    <row r="689" spans="12:14" ht="13" x14ac:dyDescent="0.15">
      <c r="L689" s="4"/>
      <c r="M689" s="4"/>
      <c r="N689" s="4"/>
    </row>
    <row r="690" spans="12:14" ht="13" x14ac:dyDescent="0.15">
      <c r="L690" s="4"/>
      <c r="M690" s="4"/>
      <c r="N690" s="4"/>
    </row>
    <row r="691" spans="12:14" ht="13" x14ac:dyDescent="0.15">
      <c r="L691" s="4"/>
      <c r="M691" s="4"/>
      <c r="N691" s="4"/>
    </row>
    <row r="692" spans="12:14" ht="13" x14ac:dyDescent="0.15">
      <c r="L692" s="4"/>
      <c r="M692" s="4"/>
      <c r="N692" s="4"/>
    </row>
    <row r="693" spans="12:14" ht="13" x14ac:dyDescent="0.15">
      <c r="L693" s="4"/>
      <c r="M693" s="4"/>
      <c r="N693" s="4"/>
    </row>
    <row r="694" spans="12:14" ht="13" x14ac:dyDescent="0.15">
      <c r="L694" s="4"/>
      <c r="M694" s="4"/>
      <c r="N694" s="4"/>
    </row>
    <row r="695" spans="12:14" ht="13" x14ac:dyDescent="0.15">
      <c r="L695" s="4"/>
      <c r="M695" s="4"/>
      <c r="N695" s="4"/>
    </row>
    <row r="696" spans="12:14" ht="13" x14ac:dyDescent="0.15">
      <c r="L696" s="4"/>
      <c r="M696" s="4"/>
      <c r="N696" s="4"/>
    </row>
    <row r="697" spans="12:14" ht="13" x14ac:dyDescent="0.15">
      <c r="L697" s="4"/>
      <c r="M697" s="4"/>
      <c r="N697" s="4"/>
    </row>
    <row r="698" spans="12:14" ht="13" x14ac:dyDescent="0.15">
      <c r="L698" s="4"/>
      <c r="M698" s="4"/>
      <c r="N698" s="4"/>
    </row>
    <row r="699" spans="12:14" ht="13" x14ac:dyDescent="0.15">
      <c r="L699" s="4"/>
      <c r="M699" s="4"/>
      <c r="N699" s="4"/>
    </row>
    <row r="700" spans="12:14" ht="13" x14ac:dyDescent="0.15">
      <c r="L700" s="4"/>
      <c r="M700" s="4"/>
      <c r="N700" s="4"/>
    </row>
    <row r="701" spans="12:14" ht="13" x14ac:dyDescent="0.15">
      <c r="L701" s="4"/>
      <c r="M701" s="4"/>
      <c r="N701" s="4"/>
    </row>
    <row r="702" spans="12:14" ht="13" x14ac:dyDescent="0.15">
      <c r="L702" s="4"/>
      <c r="M702" s="4"/>
      <c r="N702" s="4"/>
    </row>
    <row r="703" spans="12:14" ht="13" x14ac:dyDescent="0.15">
      <c r="L703" s="4"/>
      <c r="M703" s="4"/>
      <c r="N703" s="4"/>
    </row>
    <row r="704" spans="12:14" ht="13" x14ac:dyDescent="0.15">
      <c r="L704" s="4"/>
      <c r="M704" s="4"/>
      <c r="N704" s="4"/>
    </row>
    <row r="705" spans="12:14" ht="13" x14ac:dyDescent="0.15">
      <c r="L705" s="4"/>
      <c r="M705" s="4"/>
      <c r="N705" s="4"/>
    </row>
    <row r="706" spans="12:14" ht="13" x14ac:dyDescent="0.15">
      <c r="L706" s="4"/>
      <c r="M706" s="4"/>
      <c r="N706" s="4"/>
    </row>
    <row r="707" spans="12:14" ht="13" x14ac:dyDescent="0.15">
      <c r="L707" s="4"/>
      <c r="M707" s="4"/>
      <c r="N707" s="4"/>
    </row>
    <row r="708" spans="12:14" ht="13" x14ac:dyDescent="0.15">
      <c r="L708" s="4"/>
      <c r="M708" s="4"/>
      <c r="N708" s="4"/>
    </row>
    <row r="709" spans="12:14" ht="13" x14ac:dyDescent="0.15">
      <c r="L709" s="4"/>
      <c r="M709" s="4"/>
      <c r="N709" s="4"/>
    </row>
    <row r="710" spans="12:14" ht="13" x14ac:dyDescent="0.15">
      <c r="L710" s="4"/>
      <c r="M710" s="4"/>
      <c r="N710" s="4"/>
    </row>
    <row r="711" spans="12:14" ht="13" x14ac:dyDescent="0.15">
      <c r="L711" s="4"/>
      <c r="M711" s="4"/>
      <c r="N711" s="4"/>
    </row>
    <row r="712" spans="12:14" ht="13" x14ac:dyDescent="0.15">
      <c r="L712" s="4"/>
      <c r="M712" s="4"/>
      <c r="N712" s="4"/>
    </row>
    <row r="713" spans="12:14" ht="13" x14ac:dyDescent="0.15">
      <c r="L713" s="4"/>
      <c r="M713" s="4"/>
      <c r="N713" s="4"/>
    </row>
    <row r="714" spans="12:14" ht="13" x14ac:dyDescent="0.15">
      <c r="L714" s="4"/>
      <c r="M714" s="4"/>
      <c r="N714" s="4"/>
    </row>
    <row r="715" spans="12:14" ht="13" x14ac:dyDescent="0.15">
      <c r="L715" s="4"/>
      <c r="M715" s="4"/>
      <c r="N715" s="4"/>
    </row>
    <row r="716" spans="12:14" ht="13" x14ac:dyDescent="0.15">
      <c r="L716" s="4"/>
      <c r="M716" s="4"/>
      <c r="N716" s="4"/>
    </row>
    <row r="717" spans="12:14" ht="13" x14ac:dyDescent="0.15">
      <c r="L717" s="4"/>
      <c r="M717" s="4"/>
      <c r="N717" s="4"/>
    </row>
    <row r="718" spans="12:14" ht="13" x14ac:dyDescent="0.15">
      <c r="L718" s="4"/>
      <c r="M718" s="4"/>
      <c r="N718" s="4"/>
    </row>
    <row r="719" spans="12:14" ht="13" x14ac:dyDescent="0.15">
      <c r="L719" s="4"/>
      <c r="M719" s="4"/>
      <c r="N719" s="4"/>
    </row>
    <row r="720" spans="12:14" ht="13" x14ac:dyDescent="0.15">
      <c r="L720" s="4"/>
      <c r="M720" s="4"/>
      <c r="N720" s="4"/>
    </row>
    <row r="721" spans="12:14" ht="13" x14ac:dyDescent="0.15">
      <c r="L721" s="4"/>
      <c r="M721" s="4"/>
      <c r="N721" s="4"/>
    </row>
    <row r="722" spans="12:14" ht="13" x14ac:dyDescent="0.15">
      <c r="L722" s="4"/>
      <c r="M722" s="4"/>
      <c r="N722" s="4"/>
    </row>
    <row r="723" spans="12:14" ht="13" x14ac:dyDescent="0.15">
      <c r="L723" s="4"/>
      <c r="M723" s="4"/>
      <c r="N723" s="4"/>
    </row>
    <row r="724" spans="12:14" ht="13" x14ac:dyDescent="0.15">
      <c r="L724" s="4"/>
      <c r="M724" s="4"/>
      <c r="N724" s="4"/>
    </row>
    <row r="725" spans="12:14" ht="13" x14ac:dyDescent="0.15">
      <c r="L725" s="4"/>
      <c r="M725" s="4"/>
      <c r="N725" s="4"/>
    </row>
    <row r="726" spans="12:14" ht="13" x14ac:dyDescent="0.15">
      <c r="L726" s="4"/>
      <c r="M726" s="4"/>
      <c r="N726" s="4"/>
    </row>
    <row r="727" spans="12:14" ht="13" x14ac:dyDescent="0.15">
      <c r="L727" s="4"/>
      <c r="M727" s="4"/>
      <c r="N727" s="4"/>
    </row>
    <row r="728" spans="12:14" ht="13" x14ac:dyDescent="0.15">
      <c r="L728" s="4"/>
      <c r="M728" s="4"/>
      <c r="N728" s="4"/>
    </row>
    <row r="729" spans="12:14" ht="13" x14ac:dyDescent="0.15">
      <c r="L729" s="4"/>
      <c r="M729" s="4"/>
      <c r="N729" s="4"/>
    </row>
    <row r="730" spans="12:14" ht="13" x14ac:dyDescent="0.15">
      <c r="L730" s="4"/>
      <c r="M730" s="4"/>
      <c r="N730" s="4"/>
    </row>
    <row r="731" spans="12:14" ht="13" x14ac:dyDescent="0.15">
      <c r="L731" s="4"/>
      <c r="M731" s="4"/>
      <c r="N731" s="4"/>
    </row>
    <row r="732" spans="12:14" ht="13" x14ac:dyDescent="0.15">
      <c r="L732" s="4"/>
      <c r="M732" s="4"/>
      <c r="N732" s="4"/>
    </row>
    <row r="733" spans="12:14" ht="13" x14ac:dyDescent="0.15">
      <c r="L733" s="4"/>
      <c r="M733" s="4"/>
      <c r="N733" s="4"/>
    </row>
    <row r="734" spans="12:14" ht="13" x14ac:dyDescent="0.15">
      <c r="L734" s="4"/>
      <c r="M734" s="4"/>
      <c r="N734" s="4"/>
    </row>
    <row r="735" spans="12:14" ht="13" x14ac:dyDescent="0.15">
      <c r="L735" s="4"/>
      <c r="M735" s="4"/>
      <c r="N735" s="4"/>
    </row>
    <row r="736" spans="12:14" ht="13" x14ac:dyDescent="0.15">
      <c r="L736" s="4"/>
      <c r="M736" s="4"/>
      <c r="N736" s="4"/>
    </row>
    <row r="737" spans="12:14" ht="13" x14ac:dyDescent="0.15">
      <c r="L737" s="4"/>
      <c r="M737" s="4"/>
      <c r="N737" s="4"/>
    </row>
    <row r="738" spans="12:14" ht="13" x14ac:dyDescent="0.15">
      <c r="L738" s="4"/>
      <c r="M738" s="4"/>
      <c r="N738" s="4"/>
    </row>
    <row r="739" spans="12:14" ht="13" x14ac:dyDescent="0.15">
      <c r="L739" s="4"/>
      <c r="M739" s="4"/>
      <c r="N739" s="4"/>
    </row>
    <row r="740" spans="12:14" ht="13" x14ac:dyDescent="0.15">
      <c r="L740" s="4"/>
      <c r="M740" s="4"/>
      <c r="N740" s="4"/>
    </row>
    <row r="741" spans="12:14" ht="13" x14ac:dyDescent="0.15">
      <c r="L741" s="4"/>
      <c r="M741" s="4"/>
      <c r="N741" s="4"/>
    </row>
    <row r="742" spans="12:14" ht="13" x14ac:dyDescent="0.15">
      <c r="L742" s="4"/>
      <c r="M742" s="4"/>
      <c r="N742" s="4"/>
    </row>
    <row r="743" spans="12:14" ht="13" x14ac:dyDescent="0.15">
      <c r="L743" s="4"/>
      <c r="M743" s="4"/>
      <c r="N743" s="4"/>
    </row>
    <row r="744" spans="12:14" ht="13" x14ac:dyDescent="0.15">
      <c r="L744" s="4"/>
      <c r="M744" s="4"/>
      <c r="N744" s="4"/>
    </row>
    <row r="745" spans="12:14" ht="13" x14ac:dyDescent="0.15">
      <c r="L745" s="4"/>
      <c r="M745" s="4"/>
      <c r="N745" s="4"/>
    </row>
    <row r="746" spans="12:14" ht="13" x14ac:dyDescent="0.15">
      <c r="L746" s="4"/>
      <c r="M746" s="4"/>
      <c r="N746" s="4"/>
    </row>
    <row r="747" spans="12:14" ht="13" x14ac:dyDescent="0.15">
      <c r="L747" s="4"/>
      <c r="M747" s="4"/>
      <c r="N747" s="4"/>
    </row>
    <row r="748" spans="12:14" ht="13" x14ac:dyDescent="0.15">
      <c r="L748" s="4"/>
      <c r="M748" s="4"/>
      <c r="N748" s="4"/>
    </row>
    <row r="749" spans="12:14" ht="13" x14ac:dyDescent="0.15">
      <c r="L749" s="4"/>
      <c r="M749" s="4"/>
      <c r="N749" s="4"/>
    </row>
    <row r="750" spans="12:14" ht="13" x14ac:dyDescent="0.15">
      <c r="L750" s="4"/>
      <c r="M750" s="4"/>
      <c r="N750" s="4"/>
    </row>
    <row r="751" spans="12:14" ht="13" x14ac:dyDescent="0.15">
      <c r="L751" s="4"/>
      <c r="M751" s="4"/>
      <c r="N751" s="4"/>
    </row>
    <row r="752" spans="12:14" ht="13" x14ac:dyDescent="0.15">
      <c r="L752" s="4"/>
      <c r="M752" s="4"/>
      <c r="N752" s="4"/>
    </row>
    <row r="753" spans="12:14" ht="13" x14ac:dyDescent="0.15">
      <c r="L753" s="4"/>
      <c r="M753" s="4"/>
      <c r="N753" s="4"/>
    </row>
    <row r="754" spans="12:14" ht="13" x14ac:dyDescent="0.15">
      <c r="L754" s="4"/>
      <c r="M754" s="4"/>
      <c r="N754" s="4"/>
    </row>
    <row r="755" spans="12:14" ht="13" x14ac:dyDescent="0.15">
      <c r="L755" s="4"/>
      <c r="M755" s="4"/>
      <c r="N755" s="4"/>
    </row>
    <row r="756" spans="12:14" ht="13" x14ac:dyDescent="0.15">
      <c r="L756" s="4"/>
      <c r="M756" s="4"/>
      <c r="N756" s="4"/>
    </row>
    <row r="757" spans="12:14" ht="13" x14ac:dyDescent="0.15">
      <c r="L757" s="4"/>
      <c r="M757" s="4"/>
      <c r="N757" s="4"/>
    </row>
    <row r="758" spans="12:14" ht="13" x14ac:dyDescent="0.15">
      <c r="L758" s="4"/>
      <c r="M758" s="4"/>
      <c r="N758" s="4"/>
    </row>
    <row r="759" spans="12:14" ht="13" x14ac:dyDescent="0.15">
      <c r="L759" s="4"/>
      <c r="M759" s="4"/>
      <c r="N759" s="4"/>
    </row>
    <row r="760" spans="12:14" ht="13" x14ac:dyDescent="0.15">
      <c r="L760" s="4"/>
      <c r="M760" s="4"/>
      <c r="N760" s="4"/>
    </row>
    <row r="761" spans="12:14" ht="13" x14ac:dyDescent="0.15">
      <c r="L761" s="4"/>
      <c r="M761" s="4"/>
      <c r="N761" s="4"/>
    </row>
    <row r="762" spans="12:14" ht="13" x14ac:dyDescent="0.15">
      <c r="L762" s="4"/>
      <c r="M762" s="4"/>
      <c r="N762" s="4"/>
    </row>
    <row r="763" spans="12:14" ht="13" x14ac:dyDescent="0.15">
      <c r="L763" s="4"/>
      <c r="M763" s="4"/>
      <c r="N763" s="4"/>
    </row>
    <row r="764" spans="12:14" ht="13" x14ac:dyDescent="0.15">
      <c r="L764" s="4"/>
      <c r="M764" s="4"/>
      <c r="N764" s="4"/>
    </row>
    <row r="765" spans="12:14" ht="13" x14ac:dyDescent="0.15">
      <c r="L765" s="4"/>
      <c r="M765" s="4"/>
      <c r="N765" s="4"/>
    </row>
    <row r="766" spans="12:14" ht="13" x14ac:dyDescent="0.15">
      <c r="L766" s="4"/>
      <c r="M766" s="4"/>
      <c r="N766" s="4"/>
    </row>
    <row r="767" spans="12:14" ht="13" x14ac:dyDescent="0.15">
      <c r="L767" s="4"/>
      <c r="M767" s="4"/>
      <c r="N767" s="4"/>
    </row>
    <row r="768" spans="12:14" ht="13" x14ac:dyDescent="0.15">
      <c r="L768" s="4"/>
      <c r="M768" s="4"/>
      <c r="N768" s="4"/>
    </row>
    <row r="769" spans="12:14" ht="13" x14ac:dyDescent="0.15">
      <c r="L769" s="4"/>
      <c r="M769" s="4"/>
      <c r="N769" s="4"/>
    </row>
    <row r="770" spans="12:14" ht="13" x14ac:dyDescent="0.15">
      <c r="L770" s="4"/>
      <c r="M770" s="4"/>
      <c r="N770" s="4"/>
    </row>
    <row r="771" spans="12:14" ht="13" x14ac:dyDescent="0.15">
      <c r="L771" s="4"/>
      <c r="M771" s="4"/>
      <c r="N771" s="4"/>
    </row>
    <row r="772" spans="12:14" ht="13" x14ac:dyDescent="0.15">
      <c r="L772" s="4"/>
      <c r="M772" s="4"/>
      <c r="N772" s="4"/>
    </row>
    <row r="773" spans="12:14" ht="13" x14ac:dyDescent="0.15">
      <c r="L773" s="4"/>
      <c r="M773" s="4"/>
      <c r="N773" s="4"/>
    </row>
    <row r="774" spans="12:14" ht="13" x14ac:dyDescent="0.15">
      <c r="L774" s="4"/>
      <c r="M774" s="4"/>
      <c r="N774" s="4"/>
    </row>
    <row r="775" spans="12:14" ht="13" x14ac:dyDescent="0.15">
      <c r="L775" s="4"/>
      <c r="M775" s="4"/>
      <c r="N775" s="4"/>
    </row>
    <row r="776" spans="12:14" ht="13" x14ac:dyDescent="0.15">
      <c r="L776" s="4"/>
      <c r="M776" s="4"/>
      <c r="N776" s="4"/>
    </row>
    <row r="777" spans="12:14" ht="13" x14ac:dyDescent="0.15">
      <c r="L777" s="4"/>
      <c r="M777" s="4"/>
      <c r="N777" s="4"/>
    </row>
    <row r="778" spans="12:14" ht="13" x14ac:dyDescent="0.15">
      <c r="L778" s="4"/>
      <c r="M778" s="4"/>
      <c r="N778" s="4"/>
    </row>
    <row r="779" spans="12:14" ht="13" x14ac:dyDescent="0.15">
      <c r="L779" s="4"/>
      <c r="M779" s="4"/>
      <c r="N779" s="4"/>
    </row>
    <row r="780" spans="12:14" ht="13" x14ac:dyDescent="0.15">
      <c r="L780" s="4"/>
      <c r="M780" s="4"/>
      <c r="N780" s="4"/>
    </row>
    <row r="781" spans="12:14" ht="13" x14ac:dyDescent="0.15">
      <c r="L781" s="4"/>
      <c r="M781" s="4"/>
      <c r="N781" s="4"/>
    </row>
    <row r="782" spans="12:14" ht="13" x14ac:dyDescent="0.15">
      <c r="L782" s="4"/>
      <c r="M782" s="4"/>
      <c r="N782" s="4"/>
    </row>
    <row r="783" spans="12:14" ht="13" x14ac:dyDescent="0.15">
      <c r="L783" s="4"/>
      <c r="M783" s="4"/>
      <c r="N783" s="4"/>
    </row>
    <row r="784" spans="12:14" ht="13" x14ac:dyDescent="0.15">
      <c r="L784" s="4"/>
      <c r="M784" s="4"/>
      <c r="N784" s="4"/>
    </row>
    <row r="785" spans="12:14" ht="13" x14ac:dyDescent="0.15">
      <c r="L785" s="4"/>
      <c r="M785" s="4"/>
      <c r="N785" s="4"/>
    </row>
    <row r="786" spans="12:14" ht="13" x14ac:dyDescent="0.15">
      <c r="L786" s="4"/>
      <c r="M786" s="4"/>
      <c r="N786" s="4"/>
    </row>
    <row r="787" spans="12:14" ht="13" x14ac:dyDescent="0.15">
      <c r="L787" s="4"/>
      <c r="M787" s="4"/>
      <c r="N787" s="4"/>
    </row>
    <row r="788" spans="12:14" ht="13" x14ac:dyDescent="0.15">
      <c r="L788" s="4"/>
      <c r="M788" s="4"/>
      <c r="N788" s="4"/>
    </row>
    <row r="789" spans="12:14" ht="13" x14ac:dyDescent="0.15">
      <c r="L789" s="4"/>
      <c r="M789" s="4"/>
      <c r="N789" s="4"/>
    </row>
    <row r="790" spans="12:14" ht="13" x14ac:dyDescent="0.15">
      <c r="L790" s="4"/>
      <c r="M790" s="4"/>
      <c r="N790" s="4"/>
    </row>
    <row r="791" spans="12:14" ht="13" x14ac:dyDescent="0.15">
      <c r="L791" s="4"/>
      <c r="M791" s="4"/>
      <c r="N791" s="4"/>
    </row>
    <row r="792" spans="12:14" ht="13" x14ac:dyDescent="0.15">
      <c r="L792" s="4"/>
      <c r="M792" s="4"/>
      <c r="N792" s="4"/>
    </row>
    <row r="793" spans="12:14" ht="13" x14ac:dyDescent="0.15">
      <c r="L793" s="4"/>
      <c r="M793" s="4"/>
      <c r="N793" s="4"/>
    </row>
    <row r="794" spans="12:14" ht="13" x14ac:dyDescent="0.15">
      <c r="L794" s="4"/>
      <c r="M794" s="4"/>
      <c r="N794" s="4"/>
    </row>
    <row r="795" spans="12:14" ht="13" x14ac:dyDescent="0.15">
      <c r="L795" s="4"/>
      <c r="M795" s="4"/>
      <c r="N795" s="4"/>
    </row>
    <row r="796" spans="12:14" ht="13" x14ac:dyDescent="0.15">
      <c r="L796" s="4"/>
      <c r="M796" s="4"/>
      <c r="N796" s="4"/>
    </row>
    <row r="797" spans="12:14" ht="13" x14ac:dyDescent="0.15">
      <c r="L797" s="4"/>
      <c r="M797" s="4"/>
      <c r="N797" s="4"/>
    </row>
    <row r="798" spans="12:14" ht="13" x14ac:dyDescent="0.15">
      <c r="L798" s="4"/>
      <c r="M798" s="4"/>
      <c r="N798" s="4"/>
    </row>
    <row r="799" spans="12:14" ht="13" x14ac:dyDescent="0.15">
      <c r="L799" s="4"/>
      <c r="M799" s="4"/>
      <c r="N799" s="4"/>
    </row>
    <row r="800" spans="12:14" ht="13" x14ac:dyDescent="0.15">
      <c r="L800" s="4"/>
      <c r="M800" s="4"/>
      <c r="N800" s="4"/>
    </row>
    <row r="801" spans="12:14" ht="13" x14ac:dyDescent="0.15">
      <c r="L801" s="4"/>
      <c r="M801" s="4"/>
      <c r="N801" s="4"/>
    </row>
    <row r="802" spans="12:14" ht="13" x14ac:dyDescent="0.15">
      <c r="L802" s="4"/>
      <c r="M802" s="4"/>
      <c r="N802" s="4"/>
    </row>
    <row r="803" spans="12:14" ht="13" x14ac:dyDescent="0.15">
      <c r="L803" s="4"/>
      <c r="M803" s="4"/>
      <c r="N803" s="4"/>
    </row>
    <row r="804" spans="12:14" ht="13" x14ac:dyDescent="0.15">
      <c r="L804" s="4"/>
      <c r="M804" s="4"/>
      <c r="N804" s="4"/>
    </row>
    <row r="805" spans="12:14" ht="13" x14ac:dyDescent="0.15">
      <c r="L805" s="4"/>
      <c r="M805" s="4"/>
      <c r="N805" s="4"/>
    </row>
    <row r="806" spans="12:14" ht="13" x14ac:dyDescent="0.15">
      <c r="L806" s="4"/>
      <c r="M806" s="4"/>
      <c r="N806" s="4"/>
    </row>
    <row r="807" spans="12:14" ht="13" x14ac:dyDescent="0.15">
      <c r="L807" s="4"/>
      <c r="M807" s="4"/>
      <c r="N807" s="4"/>
    </row>
    <row r="808" spans="12:14" ht="13" x14ac:dyDescent="0.15">
      <c r="L808" s="4"/>
      <c r="M808" s="4"/>
      <c r="N808" s="4"/>
    </row>
    <row r="809" spans="12:14" ht="13" x14ac:dyDescent="0.15">
      <c r="L809" s="4"/>
      <c r="M809" s="4"/>
      <c r="N809" s="4"/>
    </row>
    <row r="810" spans="12:14" ht="13" x14ac:dyDescent="0.15">
      <c r="L810" s="4"/>
      <c r="M810" s="4"/>
      <c r="N810" s="4"/>
    </row>
    <row r="811" spans="12:14" ht="13" x14ac:dyDescent="0.15">
      <c r="L811" s="4"/>
      <c r="M811" s="4"/>
      <c r="N811" s="4"/>
    </row>
    <row r="812" spans="12:14" ht="13" x14ac:dyDescent="0.15">
      <c r="L812" s="4"/>
      <c r="M812" s="4"/>
      <c r="N812" s="4"/>
    </row>
    <row r="813" spans="12:14" ht="13" x14ac:dyDescent="0.15">
      <c r="L813" s="4"/>
      <c r="M813" s="4"/>
      <c r="N813" s="4"/>
    </row>
    <row r="814" spans="12:14" ht="13" x14ac:dyDescent="0.15">
      <c r="L814" s="4"/>
      <c r="M814" s="4"/>
      <c r="N814" s="4"/>
    </row>
    <row r="815" spans="12:14" ht="13" x14ac:dyDescent="0.15">
      <c r="L815" s="4"/>
      <c r="M815" s="4"/>
      <c r="N815" s="4"/>
    </row>
    <row r="816" spans="12:14" ht="13" x14ac:dyDescent="0.15">
      <c r="L816" s="4"/>
      <c r="M816" s="4"/>
      <c r="N816" s="4"/>
    </row>
    <row r="817" spans="12:14" ht="13" x14ac:dyDescent="0.15">
      <c r="L817" s="4"/>
      <c r="M817" s="4"/>
      <c r="N817" s="4"/>
    </row>
    <row r="818" spans="12:14" ht="13" x14ac:dyDescent="0.15">
      <c r="L818" s="4"/>
      <c r="M818" s="4"/>
      <c r="N818" s="4"/>
    </row>
    <row r="819" spans="12:14" ht="13" x14ac:dyDescent="0.15">
      <c r="L819" s="4"/>
      <c r="M819" s="4"/>
      <c r="N819" s="4"/>
    </row>
    <row r="820" spans="12:14" ht="13" x14ac:dyDescent="0.15">
      <c r="L820" s="4"/>
      <c r="M820" s="4"/>
      <c r="N820" s="4"/>
    </row>
    <row r="821" spans="12:14" ht="13" x14ac:dyDescent="0.15">
      <c r="L821" s="4"/>
      <c r="M821" s="4"/>
      <c r="N821" s="4"/>
    </row>
    <row r="822" spans="12:14" ht="13" x14ac:dyDescent="0.15">
      <c r="L822" s="4"/>
      <c r="M822" s="4"/>
      <c r="N822" s="4"/>
    </row>
    <row r="823" spans="12:14" ht="13" x14ac:dyDescent="0.15">
      <c r="L823" s="4"/>
      <c r="M823" s="4"/>
      <c r="N823" s="4"/>
    </row>
    <row r="824" spans="12:14" ht="13" x14ac:dyDescent="0.15">
      <c r="L824" s="4"/>
      <c r="M824" s="4"/>
      <c r="N824" s="4"/>
    </row>
    <row r="825" spans="12:14" ht="13" x14ac:dyDescent="0.15">
      <c r="L825" s="4"/>
      <c r="M825" s="4"/>
      <c r="N825" s="4"/>
    </row>
    <row r="826" spans="12:14" ht="13" x14ac:dyDescent="0.15">
      <c r="L826" s="4"/>
      <c r="M826" s="4"/>
      <c r="N826" s="4"/>
    </row>
    <row r="827" spans="12:14" ht="13" x14ac:dyDescent="0.15">
      <c r="L827" s="4"/>
      <c r="M827" s="4"/>
      <c r="N827" s="4"/>
    </row>
    <row r="828" spans="12:14" ht="13" x14ac:dyDescent="0.15">
      <c r="L828" s="4"/>
      <c r="M828" s="4"/>
      <c r="N828" s="4"/>
    </row>
    <row r="829" spans="12:14" ht="13" x14ac:dyDescent="0.15">
      <c r="L829" s="4"/>
      <c r="M829" s="4"/>
      <c r="N829" s="4"/>
    </row>
    <row r="830" spans="12:14" ht="13" x14ac:dyDescent="0.15">
      <c r="L830" s="4"/>
      <c r="M830" s="4"/>
      <c r="N830" s="4"/>
    </row>
    <row r="831" spans="12:14" ht="13" x14ac:dyDescent="0.15">
      <c r="L831" s="4"/>
      <c r="M831" s="4"/>
      <c r="N831" s="4"/>
    </row>
    <row r="832" spans="12:14" ht="13" x14ac:dyDescent="0.15">
      <c r="L832" s="4"/>
      <c r="M832" s="4"/>
      <c r="N832" s="4"/>
    </row>
    <row r="833" spans="12:14" ht="13" x14ac:dyDescent="0.15">
      <c r="L833" s="4"/>
      <c r="M833" s="4"/>
      <c r="N833" s="4"/>
    </row>
    <row r="834" spans="12:14" ht="13" x14ac:dyDescent="0.15">
      <c r="L834" s="4"/>
      <c r="M834" s="4"/>
      <c r="N834" s="4"/>
    </row>
    <row r="835" spans="12:14" ht="13" x14ac:dyDescent="0.15">
      <c r="L835" s="4"/>
      <c r="M835" s="4"/>
      <c r="N835" s="4"/>
    </row>
    <row r="836" spans="12:14" ht="13" x14ac:dyDescent="0.15">
      <c r="L836" s="4"/>
      <c r="M836" s="4"/>
      <c r="N836" s="4"/>
    </row>
    <row r="837" spans="12:14" ht="13" x14ac:dyDescent="0.15">
      <c r="L837" s="4"/>
      <c r="M837" s="4"/>
      <c r="N837" s="4"/>
    </row>
    <row r="838" spans="12:14" ht="13" x14ac:dyDescent="0.15">
      <c r="L838" s="4"/>
      <c r="M838" s="4"/>
      <c r="N838" s="4"/>
    </row>
    <row r="839" spans="12:14" ht="13" x14ac:dyDescent="0.15">
      <c r="L839" s="4"/>
      <c r="M839" s="4"/>
      <c r="N839" s="4"/>
    </row>
    <row r="840" spans="12:14" ht="13" x14ac:dyDescent="0.15">
      <c r="L840" s="4"/>
      <c r="M840" s="4"/>
      <c r="N840" s="4"/>
    </row>
    <row r="841" spans="12:14" ht="13" x14ac:dyDescent="0.15">
      <c r="L841" s="4"/>
      <c r="M841" s="4"/>
      <c r="N841" s="4"/>
    </row>
    <row r="842" spans="12:14" ht="13" x14ac:dyDescent="0.15">
      <c r="L842" s="4"/>
      <c r="M842" s="4"/>
      <c r="N842" s="4"/>
    </row>
    <row r="843" spans="12:14" ht="13" x14ac:dyDescent="0.15">
      <c r="L843" s="4"/>
      <c r="M843" s="4"/>
      <c r="N843" s="4"/>
    </row>
    <row r="844" spans="12:14" ht="13" x14ac:dyDescent="0.15">
      <c r="L844" s="4"/>
      <c r="M844" s="4"/>
      <c r="N844" s="4"/>
    </row>
    <row r="845" spans="12:14" ht="13" x14ac:dyDescent="0.15">
      <c r="L845" s="4"/>
      <c r="M845" s="4"/>
      <c r="N845" s="4"/>
    </row>
    <row r="846" spans="12:14" ht="13" x14ac:dyDescent="0.15">
      <c r="L846" s="4"/>
      <c r="M846" s="4"/>
      <c r="N846" s="4"/>
    </row>
    <row r="847" spans="12:14" ht="13" x14ac:dyDescent="0.15">
      <c r="L847" s="4"/>
      <c r="M847" s="4"/>
      <c r="N847" s="4"/>
    </row>
    <row r="848" spans="12:14" ht="13" x14ac:dyDescent="0.15">
      <c r="L848" s="4"/>
      <c r="M848" s="4"/>
      <c r="N848" s="4"/>
    </row>
    <row r="849" spans="12:14" ht="13" x14ac:dyDescent="0.15">
      <c r="L849" s="4"/>
      <c r="M849" s="4"/>
      <c r="N849" s="4"/>
    </row>
    <row r="850" spans="12:14" ht="13" x14ac:dyDescent="0.15">
      <c r="L850" s="4"/>
      <c r="M850" s="4"/>
      <c r="N850" s="4"/>
    </row>
    <row r="851" spans="12:14" ht="13" x14ac:dyDescent="0.15">
      <c r="L851" s="4"/>
      <c r="M851" s="4"/>
      <c r="N851" s="4"/>
    </row>
    <row r="852" spans="12:14" ht="13" x14ac:dyDescent="0.15">
      <c r="L852" s="4"/>
      <c r="M852" s="4"/>
      <c r="N852" s="4"/>
    </row>
    <row r="853" spans="12:14" ht="13" x14ac:dyDescent="0.15">
      <c r="L853" s="4"/>
      <c r="M853" s="4"/>
      <c r="N853" s="4"/>
    </row>
    <row r="854" spans="12:14" ht="13" x14ac:dyDescent="0.15">
      <c r="L854" s="4"/>
      <c r="M854" s="4"/>
      <c r="N854" s="4"/>
    </row>
    <row r="855" spans="12:14" ht="13" x14ac:dyDescent="0.15">
      <c r="L855" s="4"/>
      <c r="M855" s="4"/>
      <c r="N855" s="4"/>
    </row>
    <row r="856" spans="12:14" ht="13" x14ac:dyDescent="0.15">
      <c r="L856" s="4"/>
      <c r="M856" s="4"/>
      <c r="N856" s="4"/>
    </row>
    <row r="857" spans="12:14" ht="13" x14ac:dyDescent="0.15">
      <c r="L857" s="4"/>
      <c r="M857" s="4"/>
      <c r="N857" s="4"/>
    </row>
    <row r="858" spans="12:14" ht="13" x14ac:dyDescent="0.15">
      <c r="L858" s="4"/>
      <c r="M858" s="4"/>
      <c r="N858" s="4"/>
    </row>
    <row r="859" spans="12:14" ht="13" x14ac:dyDescent="0.15">
      <c r="L859" s="4"/>
      <c r="M859" s="4"/>
      <c r="N859" s="4"/>
    </row>
    <row r="860" spans="12:14" ht="13" x14ac:dyDescent="0.15">
      <c r="L860" s="4"/>
      <c r="M860" s="4"/>
      <c r="N860" s="4"/>
    </row>
    <row r="861" spans="12:14" ht="13" x14ac:dyDescent="0.15">
      <c r="L861" s="4"/>
      <c r="M861" s="4"/>
      <c r="N861" s="4"/>
    </row>
    <row r="862" spans="12:14" ht="13" x14ac:dyDescent="0.15">
      <c r="L862" s="4"/>
      <c r="M862" s="4"/>
      <c r="N862" s="4"/>
    </row>
    <row r="863" spans="12:14" ht="13" x14ac:dyDescent="0.15">
      <c r="L863" s="4"/>
      <c r="M863" s="4"/>
      <c r="N863" s="4"/>
    </row>
    <row r="864" spans="12:14" ht="13" x14ac:dyDescent="0.15">
      <c r="L864" s="4"/>
      <c r="M864" s="4"/>
      <c r="N864" s="4"/>
    </row>
    <row r="865" spans="12:14" ht="13" x14ac:dyDescent="0.15">
      <c r="L865" s="4"/>
      <c r="M865" s="4"/>
      <c r="N865" s="4"/>
    </row>
    <row r="866" spans="12:14" ht="13" x14ac:dyDescent="0.15">
      <c r="L866" s="4"/>
      <c r="M866" s="4"/>
      <c r="N866" s="4"/>
    </row>
    <row r="867" spans="12:14" ht="13" x14ac:dyDescent="0.15">
      <c r="L867" s="4"/>
      <c r="M867" s="4"/>
      <c r="N867" s="4"/>
    </row>
    <row r="868" spans="12:14" ht="13" x14ac:dyDescent="0.15">
      <c r="L868" s="4"/>
      <c r="M868" s="4"/>
      <c r="N868" s="4"/>
    </row>
    <row r="869" spans="12:14" ht="13" x14ac:dyDescent="0.15">
      <c r="L869" s="4"/>
      <c r="M869" s="4"/>
      <c r="N869" s="4"/>
    </row>
    <row r="870" spans="12:14" ht="13" x14ac:dyDescent="0.15">
      <c r="L870" s="4"/>
      <c r="M870" s="4"/>
      <c r="N870" s="4"/>
    </row>
    <row r="871" spans="12:14" ht="13" x14ac:dyDescent="0.15">
      <c r="L871" s="4"/>
      <c r="M871" s="4"/>
      <c r="N871" s="4"/>
    </row>
    <row r="872" spans="12:14" ht="13" x14ac:dyDescent="0.15">
      <c r="L872" s="4"/>
      <c r="M872" s="4"/>
      <c r="N872" s="4"/>
    </row>
    <row r="873" spans="12:14" ht="13" x14ac:dyDescent="0.15">
      <c r="L873" s="4"/>
      <c r="M873" s="4"/>
      <c r="N873" s="4"/>
    </row>
    <row r="874" spans="12:14" ht="13" x14ac:dyDescent="0.15">
      <c r="L874" s="4"/>
      <c r="M874" s="4"/>
      <c r="N874" s="4"/>
    </row>
    <row r="875" spans="12:14" ht="13" x14ac:dyDescent="0.15">
      <c r="L875" s="4"/>
      <c r="M875" s="4"/>
      <c r="N875" s="4"/>
    </row>
    <row r="876" spans="12:14" ht="13" x14ac:dyDescent="0.15">
      <c r="L876" s="4"/>
      <c r="M876" s="4"/>
      <c r="N876" s="4"/>
    </row>
    <row r="877" spans="12:14" ht="13" x14ac:dyDescent="0.15">
      <c r="L877" s="4"/>
      <c r="M877" s="4"/>
      <c r="N877" s="4"/>
    </row>
    <row r="878" spans="12:14" ht="13" x14ac:dyDescent="0.15">
      <c r="L878" s="4"/>
      <c r="M878" s="4"/>
      <c r="N878" s="4"/>
    </row>
    <row r="879" spans="12:14" ht="13" x14ac:dyDescent="0.15">
      <c r="L879" s="4"/>
      <c r="M879" s="4"/>
      <c r="N879" s="4"/>
    </row>
    <row r="880" spans="12:14" ht="13" x14ac:dyDescent="0.15">
      <c r="L880" s="4"/>
      <c r="M880" s="4"/>
      <c r="N880" s="4"/>
    </row>
    <row r="881" spans="12:14" ht="13" x14ac:dyDescent="0.15">
      <c r="L881" s="4"/>
      <c r="M881" s="4"/>
      <c r="N881" s="4"/>
    </row>
    <row r="882" spans="12:14" ht="13" x14ac:dyDescent="0.15">
      <c r="L882" s="4"/>
      <c r="M882" s="4"/>
      <c r="N882" s="4"/>
    </row>
    <row r="883" spans="12:14" ht="13" x14ac:dyDescent="0.15">
      <c r="L883" s="4"/>
      <c r="M883" s="4"/>
      <c r="N883" s="4"/>
    </row>
    <row r="884" spans="12:14" ht="13" x14ac:dyDescent="0.15">
      <c r="L884" s="4"/>
      <c r="M884" s="4"/>
      <c r="N884" s="4"/>
    </row>
    <row r="885" spans="12:14" ht="13" x14ac:dyDescent="0.15">
      <c r="L885" s="4"/>
      <c r="M885" s="4"/>
      <c r="N885" s="4"/>
    </row>
    <row r="886" spans="12:14" ht="13" x14ac:dyDescent="0.15">
      <c r="L886" s="4"/>
      <c r="M886" s="4"/>
      <c r="N886" s="4"/>
    </row>
    <row r="887" spans="12:14" ht="13" x14ac:dyDescent="0.15">
      <c r="L887" s="4"/>
      <c r="M887" s="4"/>
      <c r="N887" s="4"/>
    </row>
    <row r="888" spans="12:14" ht="13" x14ac:dyDescent="0.15">
      <c r="L888" s="4"/>
      <c r="M888" s="4"/>
      <c r="N888" s="4"/>
    </row>
    <row r="889" spans="12:14" ht="13" x14ac:dyDescent="0.15">
      <c r="L889" s="4"/>
      <c r="M889" s="4"/>
      <c r="N889" s="4"/>
    </row>
    <row r="890" spans="12:14" ht="13" x14ac:dyDescent="0.15">
      <c r="L890" s="4"/>
      <c r="M890" s="4"/>
      <c r="N890" s="4"/>
    </row>
    <row r="891" spans="12:14" ht="13" x14ac:dyDescent="0.15">
      <c r="L891" s="4"/>
      <c r="M891" s="4"/>
      <c r="N891" s="4"/>
    </row>
    <row r="892" spans="12:14" ht="13" x14ac:dyDescent="0.15">
      <c r="L892" s="4"/>
      <c r="M892" s="4"/>
      <c r="N892" s="4"/>
    </row>
    <row r="893" spans="12:14" ht="13" x14ac:dyDescent="0.15">
      <c r="L893" s="4"/>
      <c r="M893" s="4"/>
      <c r="N893" s="4"/>
    </row>
    <row r="894" spans="12:14" ht="13" x14ac:dyDescent="0.15">
      <c r="L894" s="4"/>
      <c r="M894" s="4"/>
      <c r="N894" s="4"/>
    </row>
    <row r="895" spans="12:14" ht="13" x14ac:dyDescent="0.15">
      <c r="L895" s="4"/>
      <c r="M895" s="4"/>
      <c r="N895" s="4"/>
    </row>
    <row r="896" spans="12:14" ht="13" x14ac:dyDescent="0.15">
      <c r="L896" s="4"/>
      <c r="M896" s="4"/>
      <c r="N896" s="4"/>
    </row>
    <row r="897" spans="12:14" ht="13" x14ac:dyDescent="0.15">
      <c r="L897" s="4"/>
      <c r="M897" s="4"/>
      <c r="N897" s="4"/>
    </row>
    <row r="898" spans="12:14" ht="13" x14ac:dyDescent="0.15">
      <c r="L898" s="4"/>
      <c r="M898" s="4"/>
      <c r="N898" s="4"/>
    </row>
    <row r="899" spans="12:14" ht="13" x14ac:dyDescent="0.15">
      <c r="L899" s="4"/>
      <c r="M899" s="4"/>
      <c r="N899" s="4"/>
    </row>
    <row r="900" spans="12:14" ht="13" x14ac:dyDescent="0.15">
      <c r="L900" s="4"/>
      <c r="M900" s="4"/>
      <c r="N900" s="4"/>
    </row>
    <row r="901" spans="12:14" ht="13" x14ac:dyDescent="0.15">
      <c r="L901" s="4"/>
      <c r="M901" s="4"/>
      <c r="N901" s="4"/>
    </row>
    <row r="902" spans="12:14" ht="13" x14ac:dyDescent="0.15">
      <c r="L902" s="4"/>
      <c r="M902" s="4"/>
      <c r="N902" s="4"/>
    </row>
    <row r="903" spans="12:14" ht="13" x14ac:dyDescent="0.15">
      <c r="L903" s="4"/>
      <c r="M903" s="4"/>
      <c r="N903" s="4"/>
    </row>
    <row r="904" spans="12:14" ht="13" x14ac:dyDescent="0.15">
      <c r="L904" s="4"/>
      <c r="M904" s="4"/>
      <c r="N904" s="4"/>
    </row>
    <row r="905" spans="12:14" ht="13" x14ac:dyDescent="0.15">
      <c r="L905" s="4"/>
      <c r="M905" s="4"/>
      <c r="N905" s="4"/>
    </row>
    <row r="906" spans="12:14" ht="13" x14ac:dyDescent="0.15">
      <c r="L906" s="4"/>
      <c r="M906" s="4"/>
      <c r="N906" s="4"/>
    </row>
    <row r="907" spans="12:14" ht="13" x14ac:dyDescent="0.15">
      <c r="L907" s="4"/>
      <c r="M907" s="4"/>
      <c r="N907" s="4"/>
    </row>
    <row r="908" spans="12:14" ht="13" x14ac:dyDescent="0.15">
      <c r="L908" s="4"/>
      <c r="M908" s="4"/>
      <c r="N908" s="4"/>
    </row>
    <row r="909" spans="12:14" ht="13" x14ac:dyDescent="0.15">
      <c r="L909" s="4"/>
      <c r="M909" s="4"/>
      <c r="N909" s="4"/>
    </row>
    <row r="910" spans="12:14" ht="13" x14ac:dyDescent="0.15">
      <c r="L910" s="4"/>
      <c r="M910" s="4"/>
      <c r="N910" s="4"/>
    </row>
    <row r="911" spans="12:14" ht="13" x14ac:dyDescent="0.15">
      <c r="L911" s="4"/>
      <c r="M911" s="4"/>
      <c r="N911" s="4"/>
    </row>
    <row r="912" spans="12:14" ht="13" x14ac:dyDescent="0.15">
      <c r="L912" s="4"/>
      <c r="M912" s="4"/>
      <c r="N912" s="4"/>
    </row>
    <row r="913" spans="12:14" ht="13" x14ac:dyDescent="0.15">
      <c r="L913" s="4"/>
      <c r="M913" s="4"/>
      <c r="N913" s="4"/>
    </row>
    <row r="914" spans="12:14" ht="13" x14ac:dyDescent="0.15">
      <c r="L914" s="4"/>
      <c r="M914" s="4"/>
      <c r="N914" s="4"/>
    </row>
    <row r="915" spans="12:14" ht="13" x14ac:dyDescent="0.15">
      <c r="L915" s="4"/>
      <c r="M915" s="4"/>
      <c r="N915" s="4"/>
    </row>
    <row r="916" spans="12:14" ht="13" x14ac:dyDescent="0.15">
      <c r="L916" s="4"/>
      <c r="M916" s="4"/>
      <c r="N916" s="4"/>
    </row>
    <row r="917" spans="12:14" ht="13" x14ac:dyDescent="0.15">
      <c r="L917" s="4"/>
      <c r="M917" s="4"/>
      <c r="N917" s="4"/>
    </row>
    <row r="918" spans="12:14" ht="13" x14ac:dyDescent="0.15">
      <c r="L918" s="4"/>
      <c r="M918" s="4"/>
      <c r="N918" s="4"/>
    </row>
    <row r="919" spans="12:14" ht="13" x14ac:dyDescent="0.15">
      <c r="L919" s="4"/>
      <c r="M919" s="4"/>
      <c r="N919" s="4"/>
    </row>
    <row r="920" spans="12:14" ht="13" x14ac:dyDescent="0.15">
      <c r="L920" s="4"/>
      <c r="M920" s="4"/>
      <c r="N920" s="4"/>
    </row>
    <row r="921" spans="12:14" ht="13" x14ac:dyDescent="0.15">
      <c r="L921" s="4"/>
      <c r="M921" s="4"/>
      <c r="N921" s="4"/>
    </row>
    <row r="922" spans="12:14" ht="13" x14ac:dyDescent="0.15">
      <c r="L922" s="4"/>
      <c r="M922" s="4"/>
      <c r="N922" s="4"/>
    </row>
    <row r="923" spans="12:14" ht="13" x14ac:dyDescent="0.15">
      <c r="L923" s="4"/>
      <c r="M923" s="4"/>
      <c r="N923" s="4"/>
    </row>
    <row r="924" spans="12:14" ht="13" x14ac:dyDescent="0.15">
      <c r="L924" s="4"/>
      <c r="M924" s="4"/>
      <c r="N924" s="4"/>
    </row>
    <row r="925" spans="12:14" ht="13" x14ac:dyDescent="0.15">
      <c r="L925" s="4"/>
      <c r="M925" s="4"/>
      <c r="N925" s="4"/>
    </row>
    <row r="926" spans="12:14" ht="13" x14ac:dyDescent="0.15">
      <c r="L926" s="4"/>
      <c r="M926" s="4"/>
      <c r="N926" s="4"/>
    </row>
    <row r="927" spans="12:14" ht="13" x14ac:dyDescent="0.15">
      <c r="L927" s="4"/>
      <c r="M927" s="4"/>
      <c r="N927" s="4"/>
    </row>
    <row r="928" spans="12:14" ht="13" x14ac:dyDescent="0.15">
      <c r="L928" s="4"/>
      <c r="M928" s="4"/>
      <c r="N928" s="4"/>
    </row>
    <row r="929" spans="12:14" ht="13" x14ac:dyDescent="0.15">
      <c r="L929" s="4"/>
      <c r="M929" s="4"/>
      <c r="N929" s="4"/>
    </row>
    <row r="930" spans="12:14" ht="13" x14ac:dyDescent="0.15">
      <c r="L930" s="4"/>
      <c r="M930" s="4"/>
      <c r="N930" s="4"/>
    </row>
    <row r="931" spans="12:14" ht="13" x14ac:dyDescent="0.15">
      <c r="L931" s="4"/>
      <c r="M931" s="4"/>
      <c r="N931" s="4"/>
    </row>
    <row r="932" spans="12:14" ht="13" x14ac:dyDescent="0.15">
      <c r="L932" s="4"/>
      <c r="M932" s="4"/>
      <c r="N932" s="4"/>
    </row>
    <row r="933" spans="12:14" ht="13" x14ac:dyDescent="0.15">
      <c r="L933" s="4"/>
      <c r="M933" s="4"/>
      <c r="N933" s="4"/>
    </row>
    <row r="934" spans="12:14" ht="13" x14ac:dyDescent="0.15">
      <c r="L934" s="4"/>
      <c r="M934" s="4"/>
      <c r="N934" s="4"/>
    </row>
    <row r="935" spans="12:14" ht="13" x14ac:dyDescent="0.15">
      <c r="L935" s="4"/>
      <c r="M935" s="4"/>
      <c r="N935" s="4"/>
    </row>
    <row r="936" spans="12:14" ht="13" x14ac:dyDescent="0.15">
      <c r="L936" s="4"/>
      <c r="M936" s="4"/>
      <c r="N936" s="4"/>
    </row>
    <row r="937" spans="12:14" ht="13" x14ac:dyDescent="0.15">
      <c r="L937" s="4"/>
      <c r="M937" s="4"/>
      <c r="N937" s="4"/>
    </row>
    <row r="938" spans="12:14" ht="13" x14ac:dyDescent="0.15">
      <c r="L938" s="4"/>
      <c r="M938" s="4"/>
      <c r="N938" s="4"/>
    </row>
    <row r="939" spans="12:14" ht="13" x14ac:dyDescent="0.15">
      <c r="L939" s="4"/>
      <c r="M939" s="4"/>
      <c r="N939" s="4"/>
    </row>
    <row r="940" spans="12:14" ht="13" x14ac:dyDescent="0.15">
      <c r="L940" s="4"/>
      <c r="M940" s="4"/>
      <c r="N940" s="4"/>
    </row>
    <row r="941" spans="12:14" ht="13" x14ac:dyDescent="0.15">
      <c r="L941" s="4"/>
      <c r="M941" s="4"/>
      <c r="N941" s="4"/>
    </row>
    <row r="942" spans="12:14" ht="13" x14ac:dyDescent="0.15">
      <c r="L942" s="4"/>
      <c r="M942" s="4"/>
      <c r="N942" s="4"/>
    </row>
    <row r="943" spans="12:14" ht="13" x14ac:dyDescent="0.15">
      <c r="L943" s="4"/>
      <c r="M943" s="4"/>
      <c r="N943" s="4"/>
    </row>
    <row r="944" spans="12:14" ht="13" x14ac:dyDescent="0.15">
      <c r="L944" s="4"/>
      <c r="M944" s="4"/>
      <c r="N944" s="4"/>
    </row>
    <row r="945" spans="12:14" ht="13" x14ac:dyDescent="0.15">
      <c r="L945" s="4"/>
      <c r="M945" s="4"/>
      <c r="N945" s="4"/>
    </row>
    <row r="946" spans="12:14" ht="13" x14ac:dyDescent="0.15">
      <c r="L946" s="4"/>
      <c r="M946" s="4"/>
      <c r="N946" s="4"/>
    </row>
    <row r="947" spans="12:14" ht="13" x14ac:dyDescent="0.15">
      <c r="L947" s="4"/>
      <c r="M947" s="4"/>
      <c r="N947" s="4"/>
    </row>
    <row r="948" spans="12:14" ht="13" x14ac:dyDescent="0.15">
      <c r="L948" s="4"/>
      <c r="M948" s="4"/>
      <c r="N948" s="4"/>
    </row>
    <row r="949" spans="12:14" ht="13" x14ac:dyDescent="0.15">
      <c r="L949" s="4"/>
      <c r="M949" s="4"/>
      <c r="N949" s="4"/>
    </row>
    <row r="950" spans="12:14" ht="13" x14ac:dyDescent="0.15">
      <c r="L950" s="4"/>
      <c r="M950" s="4"/>
      <c r="N950" s="4"/>
    </row>
    <row r="951" spans="12:14" ht="13" x14ac:dyDescent="0.15">
      <c r="L951" s="4"/>
      <c r="M951" s="4"/>
      <c r="N951" s="4"/>
    </row>
    <row r="952" spans="12:14" ht="13" x14ac:dyDescent="0.15">
      <c r="L952" s="4"/>
      <c r="M952" s="4"/>
      <c r="N952" s="4"/>
    </row>
    <row r="953" spans="12:14" ht="13" x14ac:dyDescent="0.15">
      <c r="L953" s="4"/>
      <c r="M953" s="4"/>
      <c r="N953" s="4"/>
    </row>
    <row r="954" spans="12:14" ht="13" x14ac:dyDescent="0.15">
      <c r="L954" s="4"/>
      <c r="M954" s="4"/>
      <c r="N954" s="4"/>
    </row>
    <row r="955" spans="12:14" ht="13" x14ac:dyDescent="0.15">
      <c r="L955" s="4"/>
      <c r="M955" s="4"/>
      <c r="N955" s="4"/>
    </row>
    <row r="956" spans="12:14" ht="13" x14ac:dyDescent="0.15">
      <c r="L956" s="4"/>
      <c r="M956" s="4"/>
      <c r="N956" s="4"/>
    </row>
    <row r="957" spans="12:14" ht="13" x14ac:dyDescent="0.15">
      <c r="L957" s="4"/>
      <c r="M957" s="4"/>
      <c r="N957" s="4"/>
    </row>
    <row r="958" spans="12:14" ht="13" x14ac:dyDescent="0.15">
      <c r="L958" s="4"/>
      <c r="M958" s="4"/>
      <c r="N958" s="4"/>
    </row>
    <row r="959" spans="12:14" ht="13" x14ac:dyDescent="0.15">
      <c r="L959" s="4"/>
      <c r="M959" s="4"/>
      <c r="N959" s="4"/>
    </row>
    <row r="960" spans="12:14" ht="13" x14ac:dyDescent="0.15">
      <c r="L960" s="4"/>
      <c r="M960" s="4"/>
      <c r="N960" s="4"/>
    </row>
    <row r="961" spans="12:14" ht="13" x14ac:dyDescent="0.15">
      <c r="L961" s="4"/>
      <c r="M961" s="4"/>
      <c r="N961" s="4"/>
    </row>
    <row r="962" spans="12:14" ht="13" x14ac:dyDescent="0.15">
      <c r="L962" s="4"/>
      <c r="M962" s="4"/>
      <c r="N962" s="4"/>
    </row>
    <row r="963" spans="12:14" ht="13" x14ac:dyDescent="0.15">
      <c r="L963" s="4"/>
      <c r="M963" s="4"/>
      <c r="N963" s="4"/>
    </row>
    <row r="964" spans="12:14" ht="13" x14ac:dyDescent="0.15">
      <c r="L964" s="4"/>
      <c r="M964" s="4"/>
      <c r="N964" s="4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F974"/>
  <sheetViews>
    <sheetView topLeftCell="A5" zoomScale="150" workbookViewId="0">
      <selection activeCell="H25" sqref="H25"/>
    </sheetView>
  </sheetViews>
  <sheetFormatPr baseColWidth="10" defaultColWidth="12.6640625" defaultRowHeight="15.75" customHeight="1" x14ac:dyDescent="0.15"/>
  <cols>
    <col min="1" max="1" width="22.6640625" customWidth="1"/>
    <col min="2" max="2" width="9.5" customWidth="1"/>
    <col min="3" max="3" width="10.6640625" customWidth="1"/>
    <col min="4" max="4" width="7" customWidth="1"/>
    <col min="5" max="5" width="9" customWidth="1"/>
    <col min="6" max="6" width="23" customWidth="1"/>
    <col min="7" max="7" width="15.1640625" customWidth="1"/>
    <col min="8" max="8" width="21.6640625" customWidth="1"/>
    <col min="9" max="9" width="12.6640625" customWidth="1"/>
    <col min="10" max="10" width="22.6640625" customWidth="1"/>
    <col min="11" max="12" width="7.1640625" customWidth="1"/>
    <col min="13" max="14" width="7" customWidth="1"/>
    <col min="19" max="19" width="22.6640625" customWidth="1"/>
    <col min="20" max="23" width="7.1640625" customWidth="1"/>
    <col min="29" max="32" width="7.1640625" customWidth="1"/>
  </cols>
  <sheetData>
    <row r="1" spans="1:32" ht="15.75" customHeight="1" x14ac:dyDescent="0.25">
      <c r="A1" s="3" t="s">
        <v>29</v>
      </c>
      <c r="J1" s="3" t="s">
        <v>30</v>
      </c>
      <c r="L1" s="4"/>
      <c r="M1" s="4"/>
      <c r="N1" s="4"/>
      <c r="S1" s="3" t="s">
        <v>31</v>
      </c>
      <c r="U1" s="4"/>
      <c r="V1" s="4"/>
      <c r="W1" s="4"/>
      <c r="AB1" s="3" t="s">
        <v>32</v>
      </c>
    </row>
    <row r="2" spans="1:32" ht="15.75" customHeight="1" x14ac:dyDescent="0.15">
      <c r="A2" s="1"/>
      <c r="B2" s="1" t="s">
        <v>33</v>
      </c>
      <c r="C2" s="1" t="s">
        <v>34</v>
      </c>
      <c r="D2" s="1" t="s">
        <v>35</v>
      </c>
      <c r="E2" s="1" t="s">
        <v>17</v>
      </c>
      <c r="K2" s="5" t="s">
        <v>33</v>
      </c>
      <c r="L2" s="5" t="s">
        <v>34</v>
      </c>
      <c r="M2" s="5" t="s">
        <v>35</v>
      </c>
      <c r="N2" s="5" t="s">
        <v>17</v>
      </c>
      <c r="P2" s="6"/>
      <c r="T2" s="5" t="s">
        <v>33</v>
      </c>
      <c r="U2" s="5" t="s">
        <v>34</v>
      </c>
      <c r="V2" s="5" t="s">
        <v>35</v>
      </c>
      <c r="W2" s="5" t="s">
        <v>17</v>
      </c>
      <c r="AC2" s="5" t="s">
        <v>33</v>
      </c>
      <c r="AD2" s="5" t="s">
        <v>34</v>
      </c>
      <c r="AE2" s="5" t="s">
        <v>35</v>
      </c>
      <c r="AF2" s="5" t="s">
        <v>17</v>
      </c>
    </row>
    <row r="3" spans="1:32" ht="15.75" customHeight="1" x14ac:dyDescent="0.15">
      <c r="A3" s="1" t="s">
        <v>10</v>
      </c>
      <c r="B3" s="9">
        <v>0</v>
      </c>
      <c r="C3" s="9">
        <v>0</v>
      </c>
      <c r="D3" s="2">
        <v>12053.315000000001</v>
      </c>
      <c r="E3" s="2">
        <v>0</v>
      </c>
      <c r="J3" s="5" t="s">
        <v>10</v>
      </c>
      <c r="K3" s="4">
        <v>0</v>
      </c>
      <c r="L3" s="4">
        <v>0</v>
      </c>
      <c r="M3" s="5">
        <f>L6</f>
        <v>12053.314979999999</v>
      </c>
      <c r="N3" s="4">
        <f t="shared" ref="N3:N23" si="0">K3</f>
        <v>0</v>
      </c>
      <c r="P3" s="6"/>
      <c r="S3" s="5" t="s">
        <v>10</v>
      </c>
      <c r="T3" s="4">
        <v>0</v>
      </c>
      <c r="U3" s="4">
        <v>0</v>
      </c>
      <c r="V3" s="5">
        <f>U6</f>
        <v>12053.314979999999</v>
      </c>
      <c r="W3" s="4">
        <f t="shared" ref="W3:W10" si="1">T3</f>
        <v>0</v>
      </c>
      <c r="AB3" s="5" t="s">
        <v>10</v>
      </c>
      <c r="AC3" s="4">
        <v>0</v>
      </c>
      <c r="AD3" s="4">
        <v>0</v>
      </c>
      <c r="AE3" s="5">
        <f>AD6</f>
        <v>12053.315000000001</v>
      </c>
      <c r="AF3" s="4">
        <f t="shared" ref="AF3:AF28" si="2">AC3</f>
        <v>0</v>
      </c>
    </row>
    <row r="4" spans="1:32" ht="15.75" customHeight="1" x14ac:dyDescent="0.15">
      <c r="A4" s="1" t="s">
        <v>14</v>
      </c>
      <c r="B4" s="9">
        <v>0</v>
      </c>
      <c r="C4" s="9">
        <v>0</v>
      </c>
      <c r="D4" s="2">
        <v>3455.7527100000002</v>
      </c>
      <c r="E4" s="2">
        <v>0</v>
      </c>
      <c r="J4" s="5" t="s">
        <v>14</v>
      </c>
      <c r="K4" s="4">
        <v>0</v>
      </c>
      <c r="L4" s="4">
        <v>0</v>
      </c>
      <c r="M4" s="4">
        <f>SUM(L7:L9)</f>
        <v>3455.75</v>
      </c>
      <c r="N4" s="4">
        <f t="shared" si="0"/>
        <v>0</v>
      </c>
      <c r="P4" s="6"/>
      <c r="S4" s="5" t="s">
        <v>14</v>
      </c>
      <c r="T4" s="4">
        <v>0</v>
      </c>
      <c r="U4" s="4">
        <v>0</v>
      </c>
      <c r="V4" s="4">
        <f>SUM(U7:U9)</f>
        <v>3455.752708</v>
      </c>
      <c r="W4" s="4">
        <f t="shared" si="1"/>
        <v>0</v>
      </c>
      <c r="AB4" s="5" t="s">
        <v>14</v>
      </c>
      <c r="AC4" s="4">
        <v>0</v>
      </c>
      <c r="AD4" s="4">
        <v>0</v>
      </c>
      <c r="AE4" s="4">
        <f>SUM(AD7:AD11)</f>
        <v>3455.752708</v>
      </c>
      <c r="AF4" s="4">
        <f t="shared" si="2"/>
        <v>0</v>
      </c>
    </row>
    <row r="5" spans="1:32" ht="15.75" customHeight="1" x14ac:dyDescent="0.15">
      <c r="A5" s="1" t="s">
        <v>15</v>
      </c>
      <c r="B5" s="9">
        <v>0</v>
      </c>
      <c r="C5" s="9">
        <v>0</v>
      </c>
      <c r="D5" s="2">
        <v>5759.5878499999999</v>
      </c>
      <c r="E5" s="2">
        <v>0</v>
      </c>
      <c r="J5" s="5" t="s">
        <v>15</v>
      </c>
      <c r="K5" s="4">
        <v>0</v>
      </c>
      <c r="L5" s="4">
        <v>0</v>
      </c>
      <c r="M5" s="4">
        <f>SUM(L10:L14)</f>
        <v>5759.5879999999997</v>
      </c>
      <c r="N5" s="4">
        <f t="shared" si="0"/>
        <v>0</v>
      </c>
      <c r="P5" s="6"/>
      <c r="S5" s="5" t="s">
        <v>15</v>
      </c>
      <c r="T5" s="4">
        <v>0</v>
      </c>
      <c r="U5" s="4">
        <v>0</v>
      </c>
      <c r="V5" s="4">
        <f>SUM(U10:U14)</f>
        <v>5759.5878460000004</v>
      </c>
      <c r="W5" s="4">
        <f t="shared" si="1"/>
        <v>0</v>
      </c>
      <c r="AB5" s="5" t="s">
        <v>15</v>
      </c>
      <c r="AC5" s="4">
        <v>0</v>
      </c>
      <c r="AD5" s="4">
        <v>0</v>
      </c>
      <c r="AE5" s="4">
        <f>SUM(AD12:AD16)</f>
        <v>5759.5878460000004</v>
      </c>
      <c r="AF5" s="4">
        <f t="shared" si="2"/>
        <v>0</v>
      </c>
    </row>
    <row r="6" spans="1:32" ht="15.75" customHeight="1" x14ac:dyDescent="0.15">
      <c r="A6" s="1" t="s">
        <v>38</v>
      </c>
      <c r="B6" s="9">
        <v>0</v>
      </c>
      <c r="C6" s="9">
        <f>136659.35/(136659.35+400.288+81.922)*D$3</f>
        <v>12010.93376249512</v>
      </c>
      <c r="D6" s="2">
        <v>0</v>
      </c>
      <c r="E6" s="2">
        <v>0</v>
      </c>
      <c r="J6" s="5" t="s">
        <v>38</v>
      </c>
      <c r="K6" s="4">
        <v>0</v>
      </c>
      <c r="L6" s="5">
        <f t="shared" ref="L6:L10" si="3">K15</f>
        <v>12053.314979999999</v>
      </c>
      <c r="M6" s="5">
        <v>0</v>
      </c>
      <c r="N6" s="4">
        <f t="shared" si="0"/>
        <v>0</v>
      </c>
      <c r="P6" s="6"/>
      <c r="S6" s="5" t="s">
        <v>38</v>
      </c>
      <c r="T6" s="4">
        <v>0</v>
      </c>
      <c r="U6" s="5">
        <f t="shared" ref="U6:U9" si="4">T15</f>
        <v>12053.314979999999</v>
      </c>
      <c r="V6" s="5">
        <v>0</v>
      </c>
      <c r="W6" s="4">
        <f t="shared" si="1"/>
        <v>0</v>
      </c>
      <c r="AB6" s="5" t="s">
        <v>38</v>
      </c>
      <c r="AC6" s="4">
        <v>0</v>
      </c>
      <c r="AD6" s="5">
        <f t="shared" ref="AD6:AD12" si="5">AC17</f>
        <v>12053.315000000001</v>
      </c>
      <c r="AE6" s="5">
        <v>0</v>
      </c>
      <c r="AF6" s="4">
        <f t="shared" si="2"/>
        <v>0</v>
      </c>
    </row>
    <row r="7" spans="1:32" ht="15.75" customHeight="1" x14ac:dyDescent="0.15">
      <c r="A7" s="1" t="s">
        <v>178</v>
      </c>
      <c r="B7" s="9">
        <v>0</v>
      </c>
      <c r="C7" s="9">
        <f>81.922/(136659.35+400.288+81.922)*D$3</f>
        <v>7.2000907050350014</v>
      </c>
      <c r="D7" s="2">
        <v>0</v>
      </c>
      <c r="E7" s="2">
        <v>0</v>
      </c>
      <c r="J7" s="5" t="s">
        <v>179</v>
      </c>
      <c r="K7" s="4">
        <v>0</v>
      </c>
      <c r="L7" s="4">
        <f t="shared" si="3"/>
        <v>3455.75</v>
      </c>
      <c r="M7" s="5">
        <v>0</v>
      </c>
      <c r="N7" s="4">
        <f t="shared" si="0"/>
        <v>0</v>
      </c>
      <c r="P7" s="6"/>
      <c r="Q7" s="6"/>
      <c r="R7" s="6"/>
      <c r="S7" s="5" t="s">
        <v>78</v>
      </c>
      <c r="T7" s="4">
        <v>0</v>
      </c>
      <c r="U7" s="4">
        <f t="shared" si="4"/>
        <v>938.16</v>
      </c>
      <c r="V7" s="5">
        <v>0</v>
      </c>
      <c r="W7" s="4">
        <f t="shared" si="1"/>
        <v>0</v>
      </c>
      <c r="AB7" s="5" t="s">
        <v>78</v>
      </c>
      <c r="AC7" s="4">
        <v>0</v>
      </c>
      <c r="AD7" s="4">
        <f t="shared" si="5"/>
        <v>938.16</v>
      </c>
      <c r="AE7" s="5">
        <v>0</v>
      </c>
      <c r="AF7" s="4">
        <f t="shared" si="2"/>
        <v>0</v>
      </c>
    </row>
    <row r="8" spans="1:32" ht="15.75" customHeight="1" x14ac:dyDescent="0.15">
      <c r="A8" s="1" t="s">
        <v>78</v>
      </c>
      <c r="B8" s="9">
        <v>0</v>
      </c>
      <c r="C8" s="9">
        <f>938.16/(938.16+467.68+62.18+5456.664+0.532)*D$4-400.288/(136659.35+400.288+81.922)*D$3</f>
        <v>432.97016608535415</v>
      </c>
      <c r="D8" s="2">
        <v>0</v>
      </c>
      <c r="E8" s="2">
        <v>0</v>
      </c>
      <c r="J8" s="5" t="s">
        <v>180</v>
      </c>
      <c r="K8" s="4">
        <v>0</v>
      </c>
      <c r="L8" s="4">
        <f t="shared" si="3"/>
        <v>0</v>
      </c>
      <c r="M8" s="5">
        <v>0</v>
      </c>
      <c r="N8" s="4">
        <f t="shared" si="0"/>
        <v>0</v>
      </c>
      <c r="P8" s="6"/>
      <c r="Q8" s="6"/>
      <c r="R8" s="6"/>
      <c r="S8" s="5" t="s">
        <v>179</v>
      </c>
      <c r="T8" s="4">
        <v>0</v>
      </c>
      <c r="U8" s="4">
        <f t="shared" si="4"/>
        <v>2455.4127080000003</v>
      </c>
      <c r="V8" s="5">
        <v>0</v>
      </c>
      <c r="W8" s="4">
        <f t="shared" si="1"/>
        <v>0</v>
      </c>
      <c r="AB8" s="5" t="s">
        <v>180</v>
      </c>
      <c r="AC8" s="4">
        <v>0</v>
      </c>
      <c r="AD8" s="4">
        <f t="shared" si="5"/>
        <v>62.18</v>
      </c>
      <c r="AE8" s="5">
        <v>0</v>
      </c>
      <c r="AF8" s="4">
        <f t="shared" si="2"/>
        <v>0</v>
      </c>
    </row>
    <row r="9" spans="1:32" ht="15.75" customHeight="1" x14ac:dyDescent="0.15">
      <c r="A9" s="1" t="s">
        <v>179</v>
      </c>
      <c r="B9" s="9">
        <v>0</v>
      </c>
      <c r="C9" s="9">
        <f>5456.664/(938.16+467.68+62.18+5456.664+0.532)*D$4</f>
        <v>2722.9304335863953</v>
      </c>
      <c r="D9" s="2">
        <v>0</v>
      </c>
      <c r="E9" s="2">
        <v>0</v>
      </c>
      <c r="J9" s="5" t="s">
        <v>81</v>
      </c>
      <c r="K9" s="4">
        <v>0</v>
      </c>
      <c r="L9" s="4">
        <f t="shared" si="3"/>
        <v>0</v>
      </c>
      <c r="M9" s="5">
        <v>0</v>
      </c>
      <c r="N9" s="4">
        <f t="shared" si="0"/>
        <v>0</v>
      </c>
      <c r="P9" s="6"/>
      <c r="Q9" s="6"/>
      <c r="R9" s="6"/>
      <c r="S9" s="5" t="s">
        <v>180</v>
      </c>
      <c r="T9" s="4">
        <v>0</v>
      </c>
      <c r="U9" s="4">
        <f t="shared" si="4"/>
        <v>62.18</v>
      </c>
      <c r="V9" s="5">
        <v>0</v>
      </c>
      <c r="W9" s="4">
        <f t="shared" si="1"/>
        <v>0</v>
      </c>
      <c r="AB9" s="5" t="s">
        <v>86</v>
      </c>
      <c r="AC9" s="4">
        <v>0</v>
      </c>
      <c r="AD9" s="4">
        <f t="shared" si="5"/>
        <v>0.53200000000000003</v>
      </c>
      <c r="AE9" s="5">
        <v>0</v>
      </c>
      <c r="AF9" s="4">
        <f t="shared" si="2"/>
        <v>0</v>
      </c>
    </row>
    <row r="10" spans="1:32" ht="15.75" customHeight="1" x14ac:dyDescent="0.15">
      <c r="A10" s="1" t="s">
        <v>86</v>
      </c>
      <c r="B10" s="9">
        <v>0</v>
      </c>
      <c r="C10" s="9">
        <f>0.532/(938.16+467.68+62.18+5456.664+0.532)*D$4</f>
        <v>0.26547337176486629</v>
      </c>
      <c r="D10" s="2">
        <v>0</v>
      </c>
      <c r="E10" s="2">
        <v>0</v>
      </c>
      <c r="J10" s="5" t="s">
        <v>80</v>
      </c>
      <c r="K10" s="4">
        <v>0</v>
      </c>
      <c r="L10" s="4">
        <f t="shared" si="3"/>
        <v>2979.6460000000002</v>
      </c>
      <c r="M10" s="5">
        <v>0</v>
      </c>
      <c r="N10" s="4">
        <f t="shared" si="0"/>
        <v>0</v>
      </c>
      <c r="P10" s="6"/>
      <c r="Q10" s="6"/>
      <c r="R10" s="6"/>
      <c r="S10" s="5" t="s">
        <v>80</v>
      </c>
      <c r="T10" s="4">
        <v>0</v>
      </c>
      <c r="U10" s="4">
        <v>2979.6460000000002</v>
      </c>
      <c r="V10" s="5">
        <v>0</v>
      </c>
      <c r="W10" s="4">
        <f t="shared" si="1"/>
        <v>0</v>
      </c>
      <c r="AB10" s="5" t="s">
        <v>181</v>
      </c>
      <c r="AC10" s="4">
        <v>0</v>
      </c>
      <c r="AD10" s="4">
        <f t="shared" si="5"/>
        <v>0.6</v>
      </c>
      <c r="AE10" s="5">
        <v>0</v>
      </c>
      <c r="AF10" s="4">
        <f t="shared" si="2"/>
        <v>0</v>
      </c>
    </row>
    <row r="11" spans="1:32" ht="15.75" customHeight="1" x14ac:dyDescent="0.15">
      <c r="A11" s="1" t="s">
        <v>180</v>
      </c>
      <c r="B11" s="9">
        <v>0</v>
      </c>
      <c r="C11" s="9">
        <f>62.18/(938.16+467.68+62.18+5456.664+0.532)*D$4</f>
        <v>31.028447850262001</v>
      </c>
      <c r="D11" s="2">
        <v>0</v>
      </c>
      <c r="E11" s="2">
        <v>0</v>
      </c>
      <c r="J11" s="5" t="s">
        <v>182</v>
      </c>
      <c r="K11" s="4">
        <v>0</v>
      </c>
      <c r="L11" s="4">
        <f>SUM(K20)</f>
        <v>654.202</v>
      </c>
      <c r="M11" s="5">
        <v>0</v>
      </c>
      <c r="N11" s="4">
        <f t="shared" si="0"/>
        <v>0</v>
      </c>
      <c r="S11" s="5" t="s">
        <v>182</v>
      </c>
      <c r="T11" s="4">
        <v>0</v>
      </c>
      <c r="U11" s="5">
        <f>SUM(T20:T21)</f>
        <v>654.202</v>
      </c>
      <c r="V11" s="5">
        <v>0</v>
      </c>
      <c r="W11" s="5">
        <v>0</v>
      </c>
      <c r="AB11" s="5" t="s">
        <v>81</v>
      </c>
      <c r="AC11" s="4">
        <v>0</v>
      </c>
      <c r="AD11" s="4">
        <f t="shared" si="5"/>
        <v>2454.2807080000002</v>
      </c>
      <c r="AE11" s="5">
        <v>0</v>
      </c>
      <c r="AF11" s="4">
        <f t="shared" si="2"/>
        <v>0</v>
      </c>
    </row>
    <row r="12" spans="1:32" ht="15.75" customHeight="1" x14ac:dyDescent="0.15">
      <c r="A12" s="1" t="s">
        <v>181</v>
      </c>
      <c r="B12" s="9">
        <v>0</v>
      </c>
      <c r="C12" s="9">
        <f>467.68/(938.16+467.68+62.18+5456.664+0.532)*D$4</f>
        <v>233.37704230637718</v>
      </c>
      <c r="D12" s="2">
        <v>0</v>
      </c>
      <c r="E12" s="2">
        <v>0</v>
      </c>
      <c r="J12" s="5" t="s">
        <v>183</v>
      </c>
      <c r="K12" s="4">
        <v>0</v>
      </c>
      <c r="L12" s="4">
        <f t="shared" ref="L12:L14" si="6">K21</f>
        <v>29.617999999999999</v>
      </c>
      <c r="M12" s="5">
        <v>0</v>
      </c>
      <c r="N12" s="4">
        <f t="shared" si="0"/>
        <v>0</v>
      </c>
      <c r="P12" s="6"/>
      <c r="Q12" s="6"/>
      <c r="R12" s="6"/>
      <c r="S12" s="5" t="s">
        <v>183</v>
      </c>
      <c r="T12" s="4">
        <v>0</v>
      </c>
      <c r="U12" s="4">
        <f t="shared" ref="U12:U14" si="7">T22</f>
        <v>29.617999999999999</v>
      </c>
      <c r="V12" s="5">
        <v>0</v>
      </c>
      <c r="W12" s="4">
        <f t="shared" ref="W12:W24" si="8">T12</f>
        <v>0</v>
      </c>
      <c r="AB12" s="5" t="s">
        <v>80</v>
      </c>
      <c r="AC12" s="4">
        <v>0</v>
      </c>
      <c r="AD12" s="4">
        <f t="shared" si="5"/>
        <v>2979.6460000000002</v>
      </c>
      <c r="AE12" s="5">
        <v>0</v>
      </c>
      <c r="AF12" s="4">
        <f t="shared" si="2"/>
        <v>0</v>
      </c>
    </row>
    <row r="13" spans="1:32" ht="15.75" customHeight="1" x14ac:dyDescent="0.15">
      <c r="A13" s="1" t="s">
        <v>80</v>
      </c>
      <c r="B13" s="9">
        <v>0</v>
      </c>
      <c r="C13" s="9">
        <f>2979.646/(2979.646+29.618+654.202+176.888)*D$5</f>
        <v>4468.7372307087053</v>
      </c>
      <c r="D13" s="2">
        <v>0</v>
      </c>
      <c r="E13" s="2">
        <v>0</v>
      </c>
      <c r="J13" s="5" t="s">
        <v>90</v>
      </c>
      <c r="K13" s="4">
        <v>0</v>
      </c>
      <c r="L13" s="4">
        <f t="shared" si="6"/>
        <v>176.88800000000001</v>
      </c>
      <c r="M13" s="5">
        <v>0</v>
      </c>
      <c r="N13" s="4">
        <f t="shared" si="0"/>
        <v>0</v>
      </c>
      <c r="P13" s="6"/>
      <c r="Q13" s="6"/>
      <c r="R13" s="6"/>
      <c r="S13" s="5" t="s">
        <v>90</v>
      </c>
      <c r="T13" s="4">
        <v>0</v>
      </c>
      <c r="U13" s="4">
        <f t="shared" si="7"/>
        <v>176.88800000000001</v>
      </c>
      <c r="V13" s="5">
        <v>0</v>
      </c>
      <c r="W13" s="4">
        <f t="shared" si="8"/>
        <v>0</v>
      </c>
      <c r="AB13" s="5" t="s">
        <v>182</v>
      </c>
      <c r="AC13" s="4">
        <v>0</v>
      </c>
      <c r="AD13" s="4">
        <f>SUM(AC24:AC25)</f>
        <v>110.1</v>
      </c>
      <c r="AE13" s="5">
        <v>0</v>
      </c>
      <c r="AF13" s="4">
        <f t="shared" si="2"/>
        <v>0</v>
      </c>
    </row>
    <row r="14" spans="1:32" ht="15.75" customHeight="1" x14ac:dyDescent="0.15">
      <c r="A14" s="1" t="s">
        <v>182</v>
      </c>
      <c r="B14" s="9">
        <v>0</v>
      </c>
      <c r="C14" s="9">
        <f>654.202/(2979.646+29.618+654.202+176.888)*D$5</f>
        <v>981.14233496331326</v>
      </c>
      <c r="D14" s="2">
        <v>0</v>
      </c>
      <c r="E14" s="2">
        <v>0</v>
      </c>
      <c r="J14" s="5" t="s">
        <v>87</v>
      </c>
      <c r="K14" s="4">
        <v>0</v>
      </c>
      <c r="L14" s="5">
        <f t="shared" si="6"/>
        <v>1919.2339999999999</v>
      </c>
      <c r="M14" s="5">
        <v>0</v>
      </c>
      <c r="N14" s="4">
        <f t="shared" si="0"/>
        <v>0</v>
      </c>
      <c r="S14" s="5" t="s">
        <v>87</v>
      </c>
      <c r="T14" s="4">
        <v>0</v>
      </c>
      <c r="U14" s="4">
        <f t="shared" si="7"/>
        <v>1919.2338460000001</v>
      </c>
      <c r="V14" s="5">
        <v>0</v>
      </c>
      <c r="W14" s="4">
        <f t="shared" si="8"/>
        <v>0</v>
      </c>
      <c r="AB14" s="5" t="s">
        <v>90</v>
      </c>
      <c r="AC14" s="4">
        <v>0</v>
      </c>
      <c r="AD14" s="4">
        <f t="shared" ref="AD14:AD16" si="9">AC26</f>
        <v>176.88800000000001</v>
      </c>
      <c r="AE14" s="5">
        <v>0</v>
      </c>
      <c r="AF14" s="4">
        <f t="shared" si="2"/>
        <v>0</v>
      </c>
    </row>
    <row r="15" spans="1:32" ht="15.75" customHeight="1" x14ac:dyDescent="0.15">
      <c r="A15" s="1" t="s">
        <v>90</v>
      </c>
      <c r="B15" s="9">
        <v>0</v>
      </c>
      <c r="C15" s="9">
        <f>176.888/(2979.646+29.618+654.202+176.888)*D$5</f>
        <v>265.28855819302072</v>
      </c>
      <c r="D15" s="2">
        <v>0</v>
      </c>
      <c r="E15" s="2">
        <v>0</v>
      </c>
      <c r="J15" s="5" t="s">
        <v>50</v>
      </c>
      <c r="K15" s="11">
        <v>12053.314979999999</v>
      </c>
      <c r="L15" s="4">
        <v>0</v>
      </c>
      <c r="M15" s="5">
        <v>0</v>
      </c>
      <c r="N15" s="5">
        <f t="shared" si="0"/>
        <v>12053.314979999999</v>
      </c>
      <c r="P15" s="6"/>
      <c r="Q15" s="6"/>
      <c r="R15" s="6"/>
      <c r="S15" s="5" t="s">
        <v>50</v>
      </c>
      <c r="T15" s="11">
        <v>12053.314979999999</v>
      </c>
      <c r="U15" s="4">
        <v>0</v>
      </c>
      <c r="V15" s="5">
        <v>0</v>
      </c>
      <c r="W15" s="5">
        <f t="shared" si="8"/>
        <v>12053.314979999999</v>
      </c>
      <c r="AB15" s="5" t="s">
        <v>183</v>
      </c>
      <c r="AC15" s="4">
        <v>0</v>
      </c>
      <c r="AD15" s="4">
        <f t="shared" si="9"/>
        <v>29.617999999999999</v>
      </c>
      <c r="AE15" s="5">
        <v>0</v>
      </c>
      <c r="AF15" s="4">
        <f t="shared" si="2"/>
        <v>0</v>
      </c>
    </row>
    <row r="16" spans="1:32" ht="15.75" customHeight="1" x14ac:dyDescent="0.15">
      <c r="A16" s="1" t="s">
        <v>183</v>
      </c>
      <c r="B16" s="9">
        <v>0</v>
      </c>
      <c r="C16" s="9">
        <f>29.618/(2979.646+29.618+654.202+176.888)*D$5</f>
        <v>44.41972613496047</v>
      </c>
      <c r="D16" s="2">
        <v>0</v>
      </c>
      <c r="E16" s="2">
        <v>0</v>
      </c>
      <c r="J16" s="5" t="s">
        <v>184</v>
      </c>
      <c r="K16" s="4">
        <v>3455.75</v>
      </c>
      <c r="L16" s="4">
        <v>0</v>
      </c>
      <c r="M16" s="5">
        <v>0</v>
      </c>
      <c r="N16" s="4">
        <f t="shared" si="0"/>
        <v>3455.75</v>
      </c>
      <c r="P16" s="6"/>
      <c r="Q16" s="6"/>
      <c r="R16" s="6"/>
      <c r="S16" s="5" t="s">
        <v>83</v>
      </c>
      <c r="T16" s="4">
        <v>938.16</v>
      </c>
      <c r="U16" s="4">
        <v>0</v>
      </c>
      <c r="V16" s="5">
        <v>0</v>
      </c>
      <c r="W16" s="4">
        <f t="shared" si="8"/>
        <v>938.16</v>
      </c>
      <c r="AB16" s="5" t="s">
        <v>87</v>
      </c>
      <c r="AC16" s="4">
        <v>0</v>
      </c>
      <c r="AD16" s="4">
        <f t="shared" si="9"/>
        <v>2463.3358460000004</v>
      </c>
      <c r="AE16" s="5">
        <v>0</v>
      </c>
      <c r="AF16" s="4">
        <f t="shared" si="2"/>
        <v>0</v>
      </c>
    </row>
    <row r="17" spans="1:32" ht="15.75" customHeight="1" x14ac:dyDescent="0.15">
      <c r="A17" s="1" t="s">
        <v>50</v>
      </c>
      <c r="B17" s="2">
        <f>1331344.4/(1604709.3+839648.4+168345+1331344.4+1417587+561455.4+44073.3+259068.6+8210.4+4121010.6)*C$6</f>
        <v>1544.1806679029112</v>
      </c>
      <c r="C17" s="2">
        <v>0</v>
      </c>
      <c r="D17" s="2">
        <v>0</v>
      </c>
      <c r="E17" s="2">
        <f t="shared" ref="E17:E86" si="10">B17</f>
        <v>1544.1806679029112</v>
      </c>
      <c r="J17" s="5" t="s">
        <v>185</v>
      </c>
      <c r="K17" s="4">
        <v>0</v>
      </c>
      <c r="L17" s="4">
        <v>0</v>
      </c>
      <c r="M17" s="5">
        <v>0</v>
      </c>
      <c r="N17" s="4">
        <f t="shared" si="0"/>
        <v>0</v>
      </c>
      <c r="P17" s="6"/>
      <c r="Q17" s="6"/>
      <c r="R17" s="6"/>
      <c r="S17" s="5" t="s">
        <v>186</v>
      </c>
      <c r="T17" s="4">
        <f>3455.752708-T16-T18</f>
        <v>2455.4127080000003</v>
      </c>
      <c r="U17" s="4">
        <v>0</v>
      </c>
      <c r="V17" s="5">
        <v>0</v>
      </c>
      <c r="W17" s="4">
        <f t="shared" si="8"/>
        <v>2455.4127080000003</v>
      </c>
      <c r="AB17" s="5" t="s">
        <v>50</v>
      </c>
      <c r="AC17" s="5">
        <v>12053.315000000001</v>
      </c>
      <c r="AD17" s="4">
        <v>0</v>
      </c>
      <c r="AE17" s="5">
        <v>0</v>
      </c>
      <c r="AF17" s="5">
        <f t="shared" si="2"/>
        <v>12053.315000000001</v>
      </c>
    </row>
    <row r="18" spans="1:32" ht="15.75" customHeight="1" x14ac:dyDescent="0.15">
      <c r="A18" s="1" t="s">
        <v>62</v>
      </c>
      <c r="B18" s="2">
        <f>1604709.3/(1604709.3+839648.4+168345+1331344.4+1417587+561455.4+44073.3+259068.6+8210.4+4121010.6)*C$6</f>
        <v>1861.2472314932288</v>
      </c>
      <c r="C18" s="2">
        <v>0</v>
      </c>
      <c r="D18" s="2">
        <v>0</v>
      </c>
      <c r="E18" s="2">
        <f t="shared" si="10"/>
        <v>1861.2472314932288</v>
      </c>
      <c r="G18" s="5" t="s">
        <v>63</v>
      </c>
      <c r="H18" s="8">
        <f>D3/SUM(D3:D5)</f>
        <v>0.56671729748017985</v>
      </c>
      <c r="J18" s="5" t="s">
        <v>91</v>
      </c>
      <c r="K18" s="4">
        <v>0</v>
      </c>
      <c r="L18" s="4">
        <v>0</v>
      </c>
      <c r="M18" s="5">
        <v>0</v>
      </c>
      <c r="N18" s="4">
        <f t="shared" si="0"/>
        <v>0</v>
      </c>
      <c r="S18" s="5" t="s">
        <v>187</v>
      </c>
      <c r="T18" s="5">
        <v>62.18</v>
      </c>
      <c r="U18" s="4">
        <v>0</v>
      </c>
      <c r="V18" s="5">
        <v>0</v>
      </c>
      <c r="W18" s="5">
        <f t="shared" si="8"/>
        <v>62.18</v>
      </c>
      <c r="AB18" s="5" t="s">
        <v>83</v>
      </c>
      <c r="AC18" s="5">
        <v>938.16</v>
      </c>
      <c r="AD18" s="4">
        <v>0</v>
      </c>
      <c r="AE18" s="5">
        <v>0</v>
      </c>
      <c r="AF18" s="5">
        <f t="shared" si="2"/>
        <v>938.16</v>
      </c>
    </row>
    <row r="19" spans="1:32" ht="15.75" customHeight="1" x14ac:dyDescent="0.15">
      <c r="A19" s="1" t="s">
        <v>150</v>
      </c>
      <c r="B19" s="2">
        <f>839648.4/(1604709.3+839648.4+168345+1331344.4+1417587+561455.4+44073.3+259068.6+8210.4+4121010.6)*C$6</f>
        <v>973.87935617231051</v>
      </c>
      <c r="C19" s="2">
        <v>0</v>
      </c>
      <c r="D19" s="2">
        <v>0</v>
      </c>
      <c r="E19" s="2">
        <f t="shared" si="10"/>
        <v>973.87935617231051</v>
      </c>
      <c r="G19" s="5" t="s">
        <v>65</v>
      </c>
      <c r="H19" s="8">
        <f>(C6+C8+C13)/SUM(D3:D5)</f>
        <v>0.79519089072544924</v>
      </c>
      <c r="J19" s="5" t="s">
        <v>85</v>
      </c>
      <c r="K19" s="4">
        <v>2979.6460000000002</v>
      </c>
      <c r="L19" s="4">
        <v>0</v>
      </c>
      <c r="M19" s="5">
        <v>0</v>
      </c>
      <c r="N19" s="4">
        <f t="shared" si="0"/>
        <v>2979.6460000000002</v>
      </c>
      <c r="P19" s="6"/>
      <c r="Q19" s="6"/>
      <c r="R19" s="6"/>
      <c r="S19" s="5" t="s">
        <v>85</v>
      </c>
      <c r="T19" s="4">
        <f>U10</f>
        <v>2979.6460000000002</v>
      </c>
      <c r="U19" s="4">
        <v>0</v>
      </c>
      <c r="V19" s="5">
        <v>0</v>
      </c>
      <c r="W19" s="4">
        <f t="shared" si="8"/>
        <v>2979.6460000000002</v>
      </c>
      <c r="AB19" s="5" t="s">
        <v>188</v>
      </c>
      <c r="AC19" s="4">
        <v>62.18</v>
      </c>
      <c r="AD19" s="4">
        <v>0</v>
      </c>
      <c r="AE19" s="5">
        <v>0</v>
      </c>
      <c r="AF19" s="4">
        <f t="shared" si="2"/>
        <v>62.18</v>
      </c>
    </row>
    <row r="20" spans="1:32" ht="15.75" customHeight="1" x14ac:dyDescent="0.15">
      <c r="A20" s="1" t="s">
        <v>189</v>
      </c>
      <c r="B20" s="2">
        <f>1417587/(1604709.3+839648.4+168345+1331344.4+1417587+561455.4+44073.3+259068.6+8210.4+4121010.6)*C$6</f>
        <v>1644.210499154452</v>
      </c>
      <c r="C20" s="2">
        <v>0</v>
      </c>
      <c r="D20" s="2">
        <v>0</v>
      </c>
      <c r="E20" s="2">
        <f t="shared" si="10"/>
        <v>1644.210499154452</v>
      </c>
      <c r="G20" s="5" t="s">
        <v>67</v>
      </c>
      <c r="H20" s="8">
        <f>(B19+B35+B44+B55+B63+B72+B83)/SUM(D3:D5)</f>
        <v>0.10965059279891338</v>
      </c>
      <c r="J20" s="5" t="s">
        <v>190</v>
      </c>
      <c r="K20" s="4">
        <v>654.202</v>
      </c>
      <c r="L20" s="4">
        <v>0</v>
      </c>
      <c r="M20" s="5">
        <v>0</v>
      </c>
      <c r="N20" s="4">
        <f t="shared" si="0"/>
        <v>654.202</v>
      </c>
      <c r="S20" s="5" t="s">
        <v>191</v>
      </c>
      <c r="T20" s="5">
        <v>26.4</v>
      </c>
      <c r="U20" s="4">
        <v>0</v>
      </c>
      <c r="V20" s="5">
        <v>0</v>
      </c>
      <c r="W20" s="5">
        <f t="shared" si="8"/>
        <v>26.4</v>
      </c>
      <c r="AB20" s="5" t="s">
        <v>192</v>
      </c>
      <c r="AC20" s="5">
        <v>0.53200000000000003</v>
      </c>
      <c r="AD20" s="4">
        <v>0</v>
      </c>
      <c r="AE20" s="5">
        <v>0</v>
      </c>
      <c r="AF20" s="5">
        <f t="shared" si="2"/>
        <v>0.53200000000000003</v>
      </c>
    </row>
    <row r="21" spans="1:32" ht="15.75" customHeight="1" x14ac:dyDescent="0.15">
      <c r="A21" s="1" t="s">
        <v>193</v>
      </c>
      <c r="B21" s="2">
        <f>561455.4/(1604709.3+839648.4+168345+1331344.4+1417587+561455.4+44073.3+259068.6+8210.4+4121010.6)*C$6</f>
        <v>651.2128451283503</v>
      </c>
      <c r="C21" s="2">
        <v>0</v>
      </c>
      <c r="D21" s="2">
        <v>0</v>
      </c>
      <c r="E21" s="2">
        <f t="shared" si="10"/>
        <v>651.2128451283503</v>
      </c>
      <c r="J21" s="5" t="s">
        <v>194</v>
      </c>
      <c r="K21" s="4">
        <v>29.617999999999999</v>
      </c>
      <c r="L21" s="4">
        <v>0</v>
      </c>
      <c r="M21" s="5">
        <v>0</v>
      </c>
      <c r="N21" s="4">
        <f t="shared" si="0"/>
        <v>29.617999999999999</v>
      </c>
      <c r="S21" s="5" t="s">
        <v>195</v>
      </c>
      <c r="T21" s="5">
        <f>654.202-T20</f>
        <v>627.80200000000002</v>
      </c>
      <c r="U21" s="4">
        <v>0</v>
      </c>
      <c r="V21" s="5">
        <v>0</v>
      </c>
      <c r="W21" s="5">
        <f t="shared" si="8"/>
        <v>627.80200000000002</v>
      </c>
      <c r="Y21" s="4"/>
      <c r="AB21" s="5" t="s">
        <v>196</v>
      </c>
      <c r="AC21" s="5">
        <v>0.6</v>
      </c>
      <c r="AD21" s="4">
        <v>0</v>
      </c>
      <c r="AE21" s="5">
        <v>0</v>
      </c>
      <c r="AF21" s="5">
        <f t="shared" si="2"/>
        <v>0.6</v>
      </c>
    </row>
    <row r="22" spans="1:32" ht="15.75" customHeight="1" x14ac:dyDescent="0.15">
      <c r="A22" s="1" t="s">
        <v>197</v>
      </c>
      <c r="B22" s="2">
        <f>44073.3/(1604709.3+839648.4+168345+1331344.4+1417587+561455.4+44073.3+259068.6+8210.4+4121010.6)*C$6</f>
        <v>51.119107746038814</v>
      </c>
      <c r="C22" s="2">
        <v>0</v>
      </c>
      <c r="D22" s="2">
        <v>0</v>
      </c>
      <c r="E22" s="2">
        <f t="shared" si="10"/>
        <v>51.119107746038814</v>
      </c>
      <c r="J22" s="5" t="s">
        <v>99</v>
      </c>
      <c r="K22" s="4">
        <f>165.9+10.988</f>
        <v>176.88800000000001</v>
      </c>
      <c r="L22" s="4">
        <v>0</v>
      </c>
      <c r="M22" s="5">
        <v>0</v>
      </c>
      <c r="N22" s="4">
        <f t="shared" si="0"/>
        <v>176.88800000000001</v>
      </c>
      <c r="S22" s="5" t="s">
        <v>198</v>
      </c>
      <c r="T22" s="4">
        <v>29.617999999999999</v>
      </c>
      <c r="U22" s="4">
        <v>0</v>
      </c>
      <c r="V22" s="5">
        <v>0</v>
      </c>
      <c r="W22" s="4">
        <f t="shared" si="8"/>
        <v>29.617999999999999</v>
      </c>
      <c r="Z22" s="4"/>
      <c r="AB22" s="5" t="s">
        <v>91</v>
      </c>
      <c r="AC22" s="4">
        <f>3455.752708-SUM(AC18:AC21)</f>
        <v>2454.2807080000002</v>
      </c>
      <c r="AD22" s="4">
        <v>0</v>
      </c>
      <c r="AE22" s="5">
        <v>0</v>
      </c>
      <c r="AF22" s="4">
        <f t="shared" si="2"/>
        <v>2454.2807080000002</v>
      </c>
    </row>
    <row r="23" spans="1:32" ht="15.75" customHeight="1" x14ac:dyDescent="0.15">
      <c r="A23" s="1" t="s">
        <v>199</v>
      </c>
      <c r="B23" s="2">
        <f>259068.6/(1604709.3+839648.4+168345+1331344.4+1417587+561455.4+44073.3+259068.6+8210.4+4121010.6)*C$6</f>
        <v>300.48477597582735</v>
      </c>
      <c r="C23" s="2">
        <v>0</v>
      </c>
      <c r="D23" s="2">
        <v>0</v>
      </c>
      <c r="E23" s="2">
        <f t="shared" si="10"/>
        <v>300.48477597582735</v>
      </c>
      <c r="J23" s="5" t="s">
        <v>94</v>
      </c>
      <c r="K23" s="5">
        <f>1621.906+297.328</f>
        <v>1919.2339999999999</v>
      </c>
      <c r="L23" s="4">
        <v>0</v>
      </c>
      <c r="M23" s="5">
        <v>0</v>
      </c>
      <c r="N23" s="5">
        <f t="shared" si="0"/>
        <v>1919.2339999999999</v>
      </c>
      <c r="S23" s="1" t="s">
        <v>200</v>
      </c>
      <c r="T23" s="5">
        <v>176.88800000000001</v>
      </c>
      <c r="U23" s="4">
        <v>0</v>
      </c>
      <c r="V23" s="5">
        <v>0</v>
      </c>
      <c r="W23" s="5">
        <f t="shared" si="8"/>
        <v>176.88800000000001</v>
      </c>
      <c r="AB23" s="5" t="s">
        <v>85</v>
      </c>
      <c r="AC23" s="5">
        <v>2979.6460000000002</v>
      </c>
      <c r="AD23" s="4">
        <v>0</v>
      </c>
      <c r="AE23" s="5">
        <v>0</v>
      </c>
      <c r="AF23" s="5">
        <f t="shared" si="2"/>
        <v>2979.6460000000002</v>
      </c>
    </row>
    <row r="24" spans="1:32" ht="15.75" customHeight="1" x14ac:dyDescent="0.15">
      <c r="A24" s="1" t="s">
        <v>201</v>
      </c>
      <c r="B24" s="2">
        <f>8210.4/(1604709.3+839648.4+168345+1331344.4+1417587+561455.4+44073.3+259068.6+8210.4+4121010.6)*C$6</f>
        <v>9.5229611179121374</v>
      </c>
      <c r="C24" s="2">
        <v>0</v>
      </c>
      <c r="D24" s="2">
        <v>0</v>
      </c>
      <c r="E24" s="2">
        <f t="shared" si="10"/>
        <v>9.5229611179121374</v>
      </c>
      <c r="H24" s="4"/>
      <c r="I24" s="10"/>
      <c r="S24" s="1" t="s">
        <v>94</v>
      </c>
      <c r="T24" s="5">
        <f>297.328+1621.905846</f>
        <v>1919.2338460000001</v>
      </c>
      <c r="U24" s="4">
        <v>0</v>
      </c>
      <c r="V24" s="5">
        <v>0</v>
      </c>
      <c r="W24" s="5">
        <f t="shared" si="8"/>
        <v>1919.2338460000001</v>
      </c>
      <c r="AB24" s="1" t="s">
        <v>191</v>
      </c>
      <c r="AC24" s="5">
        <v>26.4</v>
      </c>
      <c r="AD24" s="4">
        <v>0</v>
      </c>
      <c r="AE24" s="5">
        <v>0</v>
      </c>
      <c r="AF24" s="5">
        <f t="shared" si="2"/>
        <v>26.4</v>
      </c>
    </row>
    <row r="25" spans="1:32" ht="15.75" customHeight="1" x14ac:dyDescent="0.15">
      <c r="A25" s="1" t="s">
        <v>202</v>
      </c>
      <c r="B25" s="2">
        <f>168345/(1604709.3+839648.4+168345+1331344.4+1417587+561455.4+44073.3+259068.6+8210.4+4121010.6)*C$6</f>
        <v>195.25758664558595</v>
      </c>
      <c r="C25" s="2">
        <v>0</v>
      </c>
      <c r="D25" s="2">
        <v>0</v>
      </c>
      <c r="E25" s="2">
        <f t="shared" si="10"/>
        <v>195.25758664558595</v>
      </c>
      <c r="H25" s="4"/>
      <c r="I25" s="10"/>
      <c r="L25" s="4"/>
      <c r="S25" s="1"/>
      <c r="AB25" s="1" t="s">
        <v>203</v>
      </c>
      <c r="AC25" s="5">
        <v>83.7</v>
      </c>
      <c r="AD25" s="4">
        <v>0</v>
      </c>
      <c r="AE25" s="5">
        <v>0</v>
      </c>
      <c r="AF25" s="5">
        <f t="shared" si="2"/>
        <v>83.7</v>
      </c>
    </row>
    <row r="26" spans="1:32" ht="15.75" customHeight="1" x14ac:dyDescent="0.15">
      <c r="A26" s="1" t="s">
        <v>204</v>
      </c>
      <c r="B26" s="2">
        <f>4121010.6/(1604709.3+839648.4+168345+1331344.4+1417587+561455.4+44073.3+259068.6+8210.4+4121010.6)*C$6</f>
        <v>4779.8187311585034</v>
      </c>
      <c r="C26" s="2">
        <v>0</v>
      </c>
      <c r="D26" s="2">
        <v>0</v>
      </c>
      <c r="E26" s="2">
        <f t="shared" si="10"/>
        <v>4779.8187311585034</v>
      </c>
      <c r="H26" s="4"/>
      <c r="I26" s="10"/>
      <c r="P26" s="6"/>
      <c r="Q26" s="6"/>
      <c r="R26" s="6"/>
      <c r="AB26" s="5" t="s">
        <v>205</v>
      </c>
      <c r="AC26" s="5">
        <v>176.88800000000001</v>
      </c>
      <c r="AD26" s="4">
        <v>0</v>
      </c>
      <c r="AE26" s="5">
        <v>0</v>
      </c>
      <c r="AF26" s="5">
        <f t="shared" si="2"/>
        <v>176.88800000000001</v>
      </c>
    </row>
    <row r="27" spans="1:32" ht="15.75" customHeight="1" x14ac:dyDescent="0.15">
      <c r="A27" s="1" t="s">
        <v>206</v>
      </c>
      <c r="B27" s="1">
        <f>165.9/(165.9+64979.1+21162+23358.3+9.3)*C$7</f>
        <v>1.0891264230417131E-2</v>
      </c>
      <c r="C27" s="2">
        <v>0</v>
      </c>
      <c r="D27" s="2">
        <v>0</v>
      </c>
      <c r="E27" s="2">
        <f t="shared" si="10"/>
        <v>1.0891264230417131E-2</v>
      </c>
      <c r="P27" s="6"/>
      <c r="Q27" s="6"/>
      <c r="R27" s="6"/>
      <c r="AB27" s="5" t="s">
        <v>207</v>
      </c>
      <c r="AC27" s="5">
        <v>29.617999999999999</v>
      </c>
      <c r="AD27" s="4">
        <v>0</v>
      </c>
      <c r="AE27" s="5">
        <v>0</v>
      </c>
      <c r="AF27" s="5">
        <f t="shared" si="2"/>
        <v>29.617999999999999</v>
      </c>
    </row>
    <row r="28" spans="1:32" ht="15.75" customHeight="1" x14ac:dyDescent="0.15">
      <c r="A28" s="1" t="s">
        <v>208</v>
      </c>
      <c r="B28" s="1">
        <f>64979.1/(165.9+64979.1+21162+23358.3+9.3)*C$7</f>
        <v>4.2658501962308488</v>
      </c>
      <c r="C28" s="2">
        <v>0</v>
      </c>
      <c r="D28" s="2">
        <v>0</v>
      </c>
      <c r="E28" s="2">
        <f t="shared" si="10"/>
        <v>4.2658501962308488</v>
      </c>
      <c r="AB28" s="5" t="s">
        <v>94</v>
      </c>
      <c r="AC28" s="5">
        <f>5759.587846-SUM(AC23:AC27)</f>
        <v>2463.3358460000004</v>
      </c>
      <c r="AD28" s="4">
        <v>0</v>
      </c>
      <c r="AE28" s="5">
        <v>0</v>
      </c>
      <c r="AF28" s="5">
        <f t="shared" si="2"/>
        <v>2463.3358460000004</v>
      </c>
    </row>
    <row r="29" spans="1:32" ht="15.75" customHeight="1" x14ac:dyDescent="0.15">
      <c r="A29" s="1" t="s">
        <v>209</v>
      </c>
      <c r="B29" s="1">
        <f>21162/(165.9+64979.1+21162+23358.3+9.3)*C$7</f>
        <v>1.3892762727190313</v>
      </c>
      <c r="C29" s="2">
        <v>0</v>
      </c>
      <c r="D29" s="2">
        <v>0</v>
      </c>
      <c r="E29" s="2">
        <f t="shared" si="10"/>
        <v>1.3892762727190313</v>
      </c>
    </row>
    <row r="30" spans="1:32" ht="15.75" customHeight="1" x14ac:dyDescent="0.15">
      <c r="A30" s="1" t="s">
        <v>210</v>
      </c>
      <c r="B30" s="1">
        <f>23358.3/(165.9+64979.1+21162+23358.3+9.3)*C$7</f>
        <v>1.5334624308218954</v>
      </c>
      <c r="C30" s="2">
        <v>0</v>
      </c>
      <c r="D30" s="2">
        <v>0</v>
      </c>
      <c r="E30" s="2">
        <f t="shared" si="10"/>
        <v>1.5334624308218954</v>
      </c>
    </row>
    <row r="31" spans="1:32" ht="15.75" customHeight="1" x14ac:dyDescent="0.15">
      <c r="A31" s="1" t="s">
        <v>211</v>
      </c>
      <c r="B31" s="1">
        <f>9.3/(165.9+64979.1+21162+23358.3+9.3)*C$7</f>
        <v>6.105410328081937E-4</v>
      </c>
      <c r="C31" s="2">
        <v>0</v>
      </c>
      <c r="D31" s="2">
        <v>0</v>
      </c>
      <c r="E31" s="2">
        <f t="shared" si="10"/>
        <v>6.105410328081937E-4</v>
      </c>
    </row>
    <row r="32" spans="1:32" ht="15.75" customHeight="1" x14ac:dyDescent="0.15">
      <c r="A32" s="1" t="s">
        <v>83</v>
      </c>
      <c r="B32" s="2">
        <f>1417587/(1604709.3+839648.4+168345+1331344.4+1417587+561455.4+44073.3+259068.6+8210.4+4121010.6)*C$8</f>
        <v>59.270503607398062</v>
      </c>
      <c r="C32" s="2">
        <v>0</v>
      </c>
      <c r="D32" s="2">
        <v>0</v>
      </c>
      <c r="E32" s="2">
        <f t="shared" si="10"/>
        <v>59.270503607398062</v>
      </c>
    </row>
    <row r="33" spans="1:14" ht="15.75" customHeight="1" x14ac:dyDescent="0.15">
      <c r="A33" s="1" t="s">
        <v>95</v>
      </c>
      <c r="B33" s="2">
        <f>1604709.3/(1604709.3+839648.4+168345+1331344.4+1417587+561455.4+44073.3+259068.6+8210.4+4121010.6)*C$8</f>
        <v>67.094244201220263</v>
      </c>
      <c r="C33" s="2">
        <v>0</v>
      </c>
      <c r="D33" s="2">
        <v>0</v>
      </c>
      <c r="E33" s="2">
        <f t="shared" si="10"/>
        <v>67.094244201220263</v>
      </c>
    </row>
    <row r="34" spans="1:14" ht="15.75" customHeight="1" x14ac:dyDescent="0.15">
      <c r="A34" s="1" t="s">
        <v>164</v>
      </c>
      <c r="B34" s="2">
        <f>839648.4/(1604709.3+839648.4+168345+1331344.4+1417587+561455.4+44073.3+259068.6+8210.4+4121010.6)*C$8</f>
        <v>35.106405124444571</v>
      </c>
      <c r="C34" s="2">
        <v>0</v>
      </c>
      <c r="D34" s="2">
        <v>0</v>
      </c>
      <c r="E34" s="2">
        <f t="shared" si="10"/>
        <v>35.106405124444571</v>
      </c>
      <c r="N34" s="4"/>
    </row>
    <row r="35" spans="1:14" ht="15.75" customHeight="1" x14ac:dyDescent="0.15">
      <c r="A35" s="1" t="s">
        <v>212</v>
      </c>
      <c r="B35" s="2">
        <f>1331344.4/(1604709.3+839648.4+168345+1331344.4+1417587+561455.4+44073.3+259068.6+8210.4+4121010.6)*C$8</f>
        <v>55.664628035449816</v>
      </c>
      <c r="C35" s="2">
        <v>0</v>
      </c>
      <c r="D35" s="2">
        <v>0</v>
      </c>
      <c r="E35" s="2">
        <f t="shared" si="10"/>
        <v>55.664628035449816</v>
      </c>
    </row>
    <row r="36" spans="1:14" ht="15.75" customHeight="1" x14ac:dyDescent="0.15">
      <c r="A36" s="1" t="s">
        <v>213</v>
      </c>
      <c r="B36" s="2">
        <f>561455.4/(1604709.3+839648.4+168345+1331344.4+1417587+561455.4+44073.3+259068.6+8210.4+4121010.6)*C$8</f>
        <v>23.474922040829327</v>
      </c>
      <c r="C36" s="2">
        <v>0</v>
      </c>
      <c r="D36" s="2">
        <v>0</v>
      </c>
      <c r="E36" s="2">
        <f t="shared" si="10"/>
        <v>23.474922040829327</v>
      </c>
      <c r="L36" s="4"/>
      <c r="M36" s="4"/>
      <c r="N36" s="4"/>
    </row>
    <row r="37" spans="1:14" ht="15.75" customHeight="1" x14ac:dyDescent="0.15">
      <c r="A37" s="1" t="s">
        <v>214</v>
      </c>
      <c r="B37" s="2">
        <f>44073.3/(1604709.3+839648.4+168345+1331344.4+1417587+561455.4+44073.3+259068.6+8210.4+4121010.6)*C$8</f>
        <v>1.8427417058987823</v>
      </c>
      <c r="C37" s="2">
        <v>0</v>
      </c>
      <c r="D37" s="2">
        <v>0</v>
      </c>
      <c r="E37" s="2">
        <f t="shared" si="10"/>
        <v>1.8427417058987823</v>
      </c>
      <c r="N37" s="4"/>
    </row>
    <row r="38" spans="1:14" ht="15.75" customHeight="1" x14ac:dyDescent="0.15">
      <c r="A38" s="1" t="s">
        <v>215</v>
      </c>
      <c r="B38" s="2">
        <f>259068.6/(1604709.3+839648.4+168345+1331344.4+1417587+561455.4+44073.3+259068.6+8210.4+4121010.6)*C$8</f>
        <v>10.831875850204302</v>
      </c>
      <c r="C38" s="2">
        <v>0</v>
      </c>
      <c r="D38" s="2">
        <v>0</v>
      </c>
      <c r="E38" s="2">
        <f t="shared" si="10"/>
        <v>10.831875850204302</v>
      </c>
      <c r="L38" s="4"/>
      <c r="M38" s="4"/>
      <c r="N38" s="4"/>
    </row>
    <row r="39" spans="1:14" ht="15.75" customHeight="1" x14ac:dyDescent="0.15">
      <c r="A39" s="1" t="s">
        <v>216</v>
      </c>
      <c r="B39" s="2">
        <f>8210.4/(1604709.3+839648.4+168345+1331344.4+1417587+561455.4+44073.3+259068.6+8210.4+4121010.6)*C$8</f>
        <v>0.34328372284606234</v>
      </c>
      <c r="C39" s="2">
        <v>0</v>
      </c>
      <c r="D39" s="2">
        <v>0</v>
      </c>
      <c r="E39" s="2">
        <f t="shared" si="10"/>
        <v>0.34328372284606234</v>
      </c>
      <c r="L39" s="4"/>
      <c r="M39" s="4"/>
      <c r="N39" s="4"/>
    </row>
    <row r="40" spans="1:14" ht="15.75" customHeight="1" x14ac:dyDescent="0.15">
      <c r="A40" s="1" t="s">
        <v>217</v>
      </c>
      <c r="B40" s="2">
        <f>168345/(1604709.3+839648.4+168345+1331344.4+1417587+561455.4+44073.3+259068.6+8210.4+4121010.6)*C$8</f>
        <v>7.0386459030644515</v>
      </c>
      <c r="C40" s="2">
        <v>0</v>
      </c>
      <c r="D40" s="2">
        <v>0</v>
      </c>
      <c r="E40" s="2">
        <f t="shared" si="10"/>
        <v>7.0386459030644515</v>
      </c>
      <c r="L40" s="4"/>
      <c r="M40" s="4"/>
      <c r="N40" s="4"/>
    </row>
    <row r="41" spans="1:14" ht="15.75" customHeight="1" x14ac:dyDescent="0.15">
      <c r="A41" s="1" t="s">
        <v>218</v>
      </c>
      <c r="B41" s="2">
        <f>4121010.6/(1604709.3+839648.4+168345+1331344.4+1417587+561455.4+44073.3+259068.6+8210.4+4121010.6)*C$8</f>
        <v>172.30291589399852</v>
      </c>
      <c r="C41" s="2">
        <v>0</v>
      </c>
      <c r="D41" s="2">
        <v>0</v>
      </c>
      <c r="E41" s="2">
        <f t="shared" si="10"/>
        <v>172.30291589399852</v>
      </c>
      <c r="L41" s="4"/>
      <c r="M41" s="4"/>
      <c r="N41" s="4"/>
    </row>
    <row r="42" spans="1:14" ht="15.75" customHeight="1" x14ac:dyDescent="0.15">
      <c r="A42" s="1" t="s">
        <v>219</v>
      </c>
      <c r="B42" s="2">
        <f>26.4/(63693+48.6+26.4+18642.6+14.1+155858.7)*C$9</f>
        <v>0.3016801147150025</v>
      </c>
      <c r="C42" s="2">
        <v>0</v>
      </c>
      <c r="D42" s="2">
        <v>0</v>
      </c>
      <c r="E42" s="2">
        <f t="shared" si="10"/>
        <v>0.3016801147150025</v>
      </c>
      <c r="L42" s="4"/>
      <c r="M42" s="4"/>
      <c r="N42" s="4"/>
    </row>
    <row r="43" spans="1:14" ht="15.75" customHeight="1" x14ac:dyDescent="0.15">
      <c r="A43" s="1" t="s">
        <v>220</v>
      </c>
      <c r="B43" s="2">
        <f>48.6/(63693+48.6+26.4+18642.6+14.1+155858.7)*C$9</f>
        <v>0.55536566572534551</v>
      </c>
      <c r="C43" s="2">
        <v>0</v>
      </c>
      <c r="D43" s="2">
        <v>0</v>
      </c>
      <c r="E43" s="2">
        <f t="shared" si="10"/>
        <v>0.55536566572534551</v>
      </c>
      <c r="L43" s="4"/>
      <c r="M43" s="4"/>
      <c r="N43" s="4"/>
    </row>
    <row r="44" spans="1:14" ht="15.75" customHeight="1" x14ac:dyDescent="0.15">
      <c r="A44" s="1" t="s">
        <v>184</v>
      </c>
      <c r="B44" s="2">
        <f>63693/(63693+48.6+26.4+18642.6+14.1+155858.7)*C$9</f>
        <v>727.83755858116115</v>
      </c>
      <c r="C44" s="2">
        <v>0</v>
      </c>
      <c r="D44" s="2">
        <v>0</v>
      </c>
      <c r="E44" s="2">
        <f t="shared" si="10"/>
        <v>727.83755858116115</v>
      </c>
      <c r="L44" s="4"/>
      <c r="M44" s="4"/>
      <c r="N44" s="4"/>
    </row>
    <row r="45" spans="1:14" ht="13" x14ac:dyDescent="0.15">
      <c r="A45" s="1" t="s">
        <v>221</v>
      </c>
      <c r="B45" s="2">
        <f>18642.6/(63693+48.6+26.4+18642.6+14.1+155858.7)*C$9</f>
        <v>213.0341555524964</v>
      </c>
      <c r="C45" s="2">
        <v>0</v>
      </c>
      <c r="D45" s="2">
        <v>0</v>
      </c>
      <c r="E45" s="2">
        <f t="shared" si="10"/>
        <v>213.0341555524964</v>
      </c>
      <c r="L45" s="4"/>
      <c r="M45" s="4"/>
      <c r="N45" s="4"/>
    </row>
    <row r="46" spans="1:14" ht="13" x14ac:dyDescent="0.15">
      <c r="A46" s="1" t="s">
        <v>222</v>
      </c>
      <c r="B46" s="2">
        <f>14.1/(63693+48.6+26.4+18642.6+14.1+155858.7)*C$9</f>
        <v>0.16112460672278542</v>
      </c>
      <c r="C46" s="2">
        <v>0</v>
      </c>
      <c r="D46" s="2">
        <v>0</v>
      </c>
      <c r="E46" s="2">
        <f t="shared" si="10"/>
        <v>0.16112460672278542</v>
      </c>
      <c r="L46" s="4"/>
      <c r="M46" s="4"/>
      <c r="N46" s="4"/>
    </row>
    <row r="47" spans="1:14" ht="13" x14ac:dyDescent="0.15">
      <c r="A47" s="1" t="s">
        <v>186</v>
      </c>
      <c r="B47" s="2">
        <f>155858.7/(63693+48.6+26.4+18642.6+14.1+155858.7)*C$9</f>
        <v>1781.0405490655744</v>
      </c>
      <c r="C47" s="2">
        <v>0</v>
      </c>
      <c r="D47" s="2">
        <v>0</v>
      </c>
      <c r="E47" s="2">
        <f t="shared" si="10"/>
        <v>1781.0405490655744</v>
      </c>
      <c r="L47" s="4"/>
      <c r="M47" s="4"/>
      <c r="N47" s="4"/>
    </row>
    <row r="48" spans="1:14" ht="13" x14ac:dyDescent="0.15">
      <c r="A48" s="1" t="s">
        <v>223</v>
      </c>
      <c r="B48" s="1">
        <f>165.9/(165.9+64979.1+21162+23358.3+9.3)*C$10</f>
        <v>4.0157002966768348E-4</v>
      </c>
      <c r="C48" s="2">
        <v>0</v>
      </c>
      <c r="D48" s="2">
        <v>0</v>
      </c>
      <c r="E48" s="2">
        <f t="shared" si="10"/>
        <v>4.0157002966768348E-4</v>
      </c>
      <c r="L48" s="4"/>
      <c r="M48" s="4"/>
      <c r="N48" s="4"/>
    </row>
    <row r="49" spans="1:14" ht="13" x14ac:dyDescent="0.15">
      <c r="A49" s="1" t="s">
        <v>224</v>
      </c>
      <c r="B49" s="1">
        <f>64979.1/(165.9+64979.1+21162+23358.3+9.3)*C$10</f>
        <v>0.15728546784074363</v>
      </c>
      <c r="C49" s="2">
        <v>0</v>
      </c>
      <c r="D49" s="2">
        <v>0</v>
      </c>
      <c r="E49" s="2">
        <f t="shared" si="10"/>
        <v>0.15728546784074363</v>
      </c>
      <c r="L49" s="4"/>
      <c r="M49" s="4"/>
      <c r="N49" s="4"/>
    </row>
    <row r="50" spans="1:14" ht="13" x14ac:dyDescent="0.15">
      <c r="A50" s="1" t="s">
        <v>225</v>
      </c>
      <c r="B50" s="1">
        <f>21162/(165.9+64979.1+21162+23358.3+9.3)*C$10</f>
        <v>5.122377919124483E-2</v>
      </c>
      <c r="C50" s="2">
        <v>0</v>
      </c>
      <c r="D50" s="2">
        <v>0</v>
      </c>
      <c r="E50" s="2">
        <f t="shared" si="10"/>
        <v>5.122377919124483E-2</v>
      </c>
      <c r="L50" s="4"/>
      <c r="M50" s="4"/>
      <c r="N50" s="4"/>
    </row>
    <row r="51" spans="1:14" ht="13" x14ac:dyDescent="0.15">
      <c r="A51" s="1" t="s">
        <v>226</v>
      </c>
      <c r="B51" s="1">
        <f>23358.3/(165.9+64979.1+21162+23358.3+9.3)*C$10</f>
        <v>5.6540043544223324E-2</v>
      </c>
      <c r="C51" s="2">
        <v>0</v>
      </c>
      <c r="D51" s="2">
        <v>0</v>
      </c>
      <c r="E51" s="2">
        <f t="shared" si="10"/>
        <v>5.6540043544223324E-2</v>
      </c>
      <c r="L51" s="4"/>
      <c r="M51" s="4"/>
      <c r="N51" s="4"/>
    </row>
    <row r="52" spans="1:14" ht="13" x14ac:dyDescent="0.15">
      <c r="A52" s="1" t="s">
        <v>227</v>
      </c>
      <c r="B52" s="1">
        <f>9.3/(165.9+64979.1+21162+23358.3+9.3)*C$10</f>
        <v>2.2511158986796E-5</v>
      </c>
      <c r="C52" s="2">
        <v>0</v>
      </c>
      <c r="D52" s="2">
        <v>0</v>
      </c>
      <c r="E52" s="2">
        <f t="shared" si="10"/>
        <v>2.2511158986796E-5</v>
      </c>
      <c r="L52" s="4"/>
      <c r="M52" s="4"/>
      <c r="N52" s="4"/>
    </row>
    <row r="53" spans="1:14" ht="13" x14ac:dyDescent="0.15">
      <c r="A53" s="1" t="s">
        <v>228</v>
      </c>
      <c r="B53" s="1">
        <f>161310.9/(161310.9+13184.4+2100.3+166471.8+624655.7+484553.1)*C$11</f>
        <v>3.4464703396838905</v>
      </c>
      <c r="C53" s="2">
        <v>0</v>
      </c>
      <c r="D53" s="2">
        <v>0</v>
      </c>
      <c r="E53" s="2">
        <f t="shared" si="10"/>
        <v>3.4464703396838905</v>
      </c>
      <c r="L53" s="4"/>
      <c r="M53" s="4"/>
      <c r="N53" s="4"/>
    </row>
    <row r="54" spans="1:14" ht="13" x14ac:dyDescent="0.15">
      <c r="A54" s="1" t="s">
        <v>229</v>
      </c>
      <c r="B54" s="1">
        <f>13184.4/(161310.9+13184.4+2100.3+166471.8+624655.7+484553.1)*C$11</f>
        <v>0.28168985199715757</v>
      </c>
      <c r="C54" s="2">
        <v>0</v>
      </c>
      <c r="D54" s="2">
        <v>0</v>
      </c>
      <c r="E54" s="2">
        <f t="shared" si="10"/>
        <v>0.28168985199715757</v>
      </c>
      <c r="L54" s="4"/>
      <c r="M54" s="4"/>
      <c r="N54" s="4"/>
    </row>
    <row r="55" spans="1:14" ht="13" x14ac:dyDescent="0.15">
      <c r="A55" s="1" t="s">
        <v>187</v>
      </c>
      <c r="B55" s="1">
        <f>2100.3/(161310.9+13184.4+2100.3+166471.8+624655.7+484553.1)*C$11</f>
        <v>4.4873729267136168E-2</v>
      </c>
      <c r="C55" s="2">
        <v>0</v>
      </c>
      <c r="D55" s="2">
        <v>0</v>
      </c>
      <c r="E55" s="2">
        <f t="shared" si="10"/>
        <v>4.4873729267136168E-2</v>
      </c>
      <c r="L55" s="4"/>
      <c r="M55" s="4"/>
      <c r="N55" s="4"/>
    </row>
    <row r="56" spans="1:14" ht="13" x14ac:dyDescent="0.15">
      <c r="A56" s="1" t="s">
        <v>230</v>
      </c>
      <c r="B56" s="1">
        <f>166471.8/(161310.9+13184.4+2100.3+166471.8+624655.7+484553.1)*C$11</f>
        <v>3.5567349825324182</v>
      </c>
      <c r="C56" s="2">
        <v>0</v>
      </c>
      <c r="D56" s="2">
        <v>0</v>
      </c>
      <c r="E56" s="2">
        <f t="shared" si="10"/>
        <v>3.5567349825324182</v>
      </c>
      <c r="L56" s="4"/>
      <c r="M56" s="4"/>
      <c r="N56" s="4"/>
    </row>
    <row r="57" spans="1:14" ht="13" x14ac:dyDescent="0.15">
      <c r="A57" s="1" t="s">
        <v>185</v>
      </c>
      <c r="B57" s="1">
        <f>624655.7/(161310.9+13184.4+2100.3+166471.8+624655.7+484553.1)*C$11</f>
        <v>13.346012839581691</v>
      </c>
      <c r="C57" s="2">
        <v>0</v>
      </c>
      <c r="D57" s="2">
        <v>0</v>
      </c>
      <c r="E57" s="2">
        <f t="shared" si="10"/>
        <v>13.346012839581691</v>
      </c>
      <c r="L57" s="4"/>
      <c r="M57" s="4"/>
      <c r="N57" s="4"/>
    </row>
    <row r="58" spans="1:14" ht="13" x14ac:dyDescent="0.15">
      <c r="A58" s="1" t="s">
        <v>231</v>
      </c>
      <c r="B58" s="1">
        <f>484553.1/(161310.9+13184.4+2100.3+166471.8+624655.7+484553.1)*C$11</f>
        <v>10.352666107199713</v>
      </c>
      <c r="C58" s="2">
        <v>0</v>
      </c>
      <c r="D58" s="2">
        <v>0</v>
      </c>
      <c r="E58" s="2">
        <f t="shared" si="10"/>
        <v>10.352666107199713</v>
      </c>
      <c r="L58" s="4"/>
      <c r="M58" s="4"/>
      <c r="N58" s="4"/>
    </row>
    <row r="59" spans="1:14" ht="13" x14ac:dyDescent="0.15">
      <c r="A59" s="1" t="s">
        <v>232</v>
      </c>
      <c r="B59" s="12">
        <f>C12</f>
        <v>233.37704230637718</v>
      </c>
      <c r="C59" s="2">
        <v>0</v>
      </c>
      <c r="D59" s="2">
        <v>0</v>
      </c>
      <c r="E59" s="9">
        <f t="shared" si="10"/>
        <v>233.37704230637718</v>
      </c>
      <c r="L59" s="4"/>
      <c r="M59" s="4"/>
      <c r="N59" s="4"/>
    </row>
    <row r="60" spans="1:14" ht="13" x14ac:dyDescent="0.15">
      <c r="A60" s="1" t="s">
        <v>85</v>
      </c>
      <c r="B60" s="2">
        <f>1417587/(1604709.3+839648.4+168345+1331344.4+1417587+561455.4+44073.3+259068.6+8210.4+4121010.6)*C$13</f>
        <v>611.73800621870089</v>
      </c>
      <c r="C60" s="2">
        <v>0</v>
      </c>
      <c r="D60" s="2">
        <v>0</v>
      </c>
      <c r="E60" s="2">
        <f t="shared" si="10"/>
        <v>611.73800621870089</v>
      </c>
      <c r="L60" s="4"/>
      <c r="M60" s="4"/>
      <c r="N60" s="4"/>
    </row>
    <row r="61" spans="1:14" ht="13" x14ac:dyDescent="0.15">
      <c r="A61" s="1" t="s">
        <v>98</v>
      </c>
      <c r="B61" s="2">
        <f>1604709.3/(1604709.3+839648.4+168345+1331344.4+1417587+561455.4+44073.3+259068.6+8210.4+4121010.6)*C$13</f>
        <v>692.48777517189933</v>
      </c>
      <c r="C61" s="2">
        <v>0</v>
      </c>
      <c r="D61" s="2">
        <v>0</v>
      </c>
      <c r="E61" s="2">
        <f t="shared" si="10"/>
        <v>692.48777517189933</v>
      </c>
      <c r="L61" s="4"/>
      <c r="M61" s="4"/>
      <c r="N61" s="4"/>
    </row>
    <row r="62" spans="1:14" ht="13" x14ac:dyDescent="0.15">
      <c r="A62" s="1" t="s">
        <v>173</v>
      </c>
      <c r="B62" s="2">
        <f>839648.4/(1604709.3+839648.4+168345+1331344.4+1417587+561455.4+44073.3+259068.6+8210.4+4121010.6)*C$13</f>
        <v>362.33743547360569</v>
      </c>
      <c r="C62" s="2">
        <v>0</v>
      </c>
      <c r="D62" s="2">
        <v>0</v>
      </c>
      <c r="E62" s="2">
        <f t="shared" si="10"/>
        <v>362.33743547360569</v>
      </c>
      <c r="L62" s="4"/>
      <c r="M62" s="4"/>
      <c r="N62" s="4"/>
    </row>
    <row r="63" spans="1:14" ht="13" x14ac:dyDescent="0.15">
      <c r="A63" s="1" t="s">
        <v>233</v>
      </c>
      <c r="B63" s="2">
        <f>1331344.4/(1604709.3+839648.4+168345+1331344.4+1417587+561455.4+44073.3+259068.6+8210.4+4121010.6)*C$13</f>
        <v>574.52133015217589</v>
      </c>
      <c r="C63" s="2">
        <v>0</v>
      </c>
      <c r="D63" s="2">
        <v>0</v>
      </c>
      <c r="E63" s="2">
        <f t="shared" si="10"/>
        <v>574.52133015217589</v>
      </c>
      <c r="L63" s="4"/>
      <c r="M63" s="4"/>
      <c r="N63" s="4"/>
    </row>
    <row r="64" spans="1:14" ht="13" x14ac:dyDescent="0.15">
      <c r="A64" s="1" t="s">
        <v>234</v>
      </c>
      <c r="B64" s="2">
        <f>561455.4/(1604709.3+839648.4+168345+1331344.4+1417587+561455.4+44073.3+259068.6+8210.4+4121010.6)*C$13</f>
        <v>242.28749768213396</v>
      </c>
      <c r="C64" s="2">
        <v>0</v>
      </c>
      <c r="D64" s="2">
        <v>0</v>
      </c>
      <c r="E64" s="2">
        <f t="shared" si="10"/>
        <v>242.28749768213396</v>
      </c>
      <c r="L64" s="4"/>
      <c r="M64" s="4"/>
      <c r="N64" s="4"/>
    </row>
    <row r="65" spans="1:14" ht="13" x14ac:dyDescent="0.15">
      <c r="A65" s="1" t="s">
        <v>235</v>
      </c>
      <c r="B65" s="2">
        <f>44073.3/(1604709.3+839648.4+168345+1331344.4+1417587+561455.4+44073.3+259068.6+8210.4+4121010.6)*C$13</f>
        <v>19.01915908475365</v>
      </c>
      <c r="C65" s="2">
        <v>0</v>
      </c>
      <c r="D65" s="2">
        <v>0</v>
      </c>
      <c r="E65" s="2">
        <f t="shared" si="10"/>
        <v>19.01915908475365</v>
      </c>
      <c r="L65" s="4"/>
      <c r="M65" s="4"/>
      <c r="N65" s="4"/>
    </row>
    <row r="66" spans="1:14" ht="13" x14ac:dyDescent="0.15">
      <c r="A66" s="1" t="s">
        <v>236</v>
      </c>
      <c r="B66" s="2">
        <f>259068.6/(1604709.3+839648.4+168345+1331344.4+1417587+561455.4+44073.3+259068.6+8210.4+4121010.6)*C$13</f>
        <v>111.79709523145327</v>
      </c>
      <c r="C66" s="2">
        <v>0</v>
      </c>
      <c r="D66" s="2">
        <v>0</v>
      </c>
      <c r="E66" s="2">
        <f t="shared" si="10"/>
        <v>111.79709523145327</v>
      </c>
      <c r="L66" s="4"/>
      <c r="M66" s="4"/>
      <c r="N66" s="4"/>
    </row>
    <row r="67" spans="1:14" ht="13" x14ac:dyDescent="0.15">
      <c r="A67" s="1" t="s">
        <v>237</v>
      </c>
      <c r="B67" s="2">
        <f>8210.4/(1604709.3+839648.4+168345+1331344.4+1417587+561455.4+44073.3+259068.6+8210.4+4121010.6)*C$13</f>
        <v>3.5430726482805088</v>
      </c>
      <c r="C67" s="2">
        <v>0</v>
      </c>
      <c r="D67" s="2">
        <v>0</v>
      </c>
      <c r="E67" s="2">
        <f t="shared" si="10"/>
        <v>3.5430726482805088</v>
      </c>
      <c r="L67" s="4"/>
      <c r="M67" s="4"/>
      <c r="N67" s="4"/>
    </row>
    <row r="68" spans="1:14" ht="13" x14ac:dyDescent="0.15">
      <c r="A68" s="1" t="s">
        <v>238</v>
      </c>
      <c r="B68" s="2">
        <f>168345/(1604709.3+839648.4+168345+1331344.4+1417587+561455.4+44073.3+259068.6+8210.4+4121010.6)*C$13</f>
        <v>72.646712093781332</v>
      </c>
      <c r="C68" s="2">
        <v>0</v>
      </c>
      <c r="D68" s="2">
        <v>0</v>
      </c>
      <c r="E68" s="2">
        <f t="shared" si="10"/>
        <v>72.646712093781332</v>
      </c>
      <c r="L68" s="4"/>
      <c r="M68" s="4"/>
      <c r="N68" s="4"/>
    </row>
    <row r="69" spans="1:14" ht="13" x14ac:dyDescent="0.15">
      <c r="A69" s="1" t="s">
        <v>239</v>
      </c>
      <c r="B69" s="2">
        <f>4121010.6/(1604709.3+839648.4+168345+1331344.4+1417587+561455.4+44073.3+259068.6+8210.4+4121010.6)*C$13</f>
        <v>1778.3591469519208</v>
      </c>
      <c r="C69" s="2">
        <v>0</v>
      </c>
      <c r="D69" s="2">
        <v>0</v>
      </c>
      <c r="E69" s="2">
        <f t="shared" si="10"/>
        <v>1778.3591469519208</v>
      </c>
      <c r="L69" s="4"/>
      <c r="M69" s="4"/>
      <c r="N69" s="4"/>
    </row>
    <row r="70" spans="1:14" ht="13" x14ac:dyDescent="0.15">
      <c r="A70" s="1" t="s">
        <v>190</v>
      </c>
      <c r="B70" s="2">
        <f>63693/(63693+48.6+26.4+18642.6+14.1+155858.7)*C$14</f>
        <v>262.25871689265091</v>
      </c>
      <c r="C70" s="2">
        <v>0</v>
      </c>
      <c r="D70" s="2">
        <v>0</v>
      </c>
      <c r="E70" s="2">
        <f t="shared" si="10"/>
        <v>262.25871689265091</v>
      </c>
      <c r="L70" s="4"/>
      <c r="M70" s="4"/>
      <c r="N70" s="4"/>
    </row>
    <row r="71" spans="1:14" ht="13" x14ac:dyDescent="0.15">
      <c r="A71" s="1" t="s">
        <v>240</v>
      </c>
      <c r="B71" s="2">
        <f>48.6/(63693+48.6+26.4+18642.6+14.1+155858.7)*C$14</f>
        <v>0.20011262840473579</v>
      </c>
      <c r="C71" s="2">
        <v>0</v>
      </c>
      <c r="D71" s="2">
        <v>0</v>
      </c>
      <c r="E71" s="2">
        <f t="shared" si="10"/>
        <v>0.20011262840473579</v>
      </c>
      <c r="L71" s="4"/>
      <c r="M71" s="4"/>
      <c r="N71" s="4"/>
    </row>
    <row r="72" spans="1:14" ht="13" x14ac:dyDescent="0.15">
      <c r="A72" s="1" t="s">
        <v>191</v>
      </c>
      <c r="B72" s="2">
        <f>26.4/(63693+48.6+26.4+18642.6+14.1+155858.7)*C$14</f>
        <v>0.10870315617047376</v>
      </c>
      <c r="C72" s="2">
        <v>0</v>
      </c>
      <c r="D72" s="2">
        <v>0</v>
      </c>
      <c r="E72" s="2">
        <f t="shared" si="10"/>
        <v>0.10870315617047376</v>
      </c>
      <c r="L72" s="4"/>
      <c r="M72" s="4"/>
      <c r="N72" s="4"/>
    </row>
    <row r="73" spans="1:14" ht="13" x14ac:dyDescent="0.15">
      <c r="A73" s="1" t="s">
        <v>241</v>
      </c>
      <c r="B73" s="2">
        <f>18642.6/(63693+48.6+26.4+18642.6+14.1+155858.7)*C$14</f>
        <v>76.76172194029067</v>
      </c>
      <c r="C73" s="2">
        <v>0</v>
      </c>
      <c r="D73" s="2">
        <v>0</v>
      </c>
      <c r="E73" s="2">
        <f t="shared" si="10"/>
        <v>76.76172194029067</v>
      </c>
      <c r="L73" s="4"/>
      <c r="M73" s="4"/>
      <c r="N73" s="4"/>
    </row>
    <row r="74" spans="1:14" ht="13" x14ac:dyDescent="0.15">
      <c r="A74" s="1" t="s">
        <v>242</v>
      </c>
      <c r="B74" s="2">
        <f>14.1/(63693+48.6+26.4+18642.6+14.1+155858.7)*C$14</f>
        <v>5.8057367500139394E-2</v>
      </c>
      <c r="C74" s="2">
        <v>0</v>
      </c>
      <c r="D74" s="2">
        <v>0</v>
      </c>
      <c r="E74" s="2">
        <f t="shared" si="10"/>
        <v>5.8057367500139394E-2</v>
      </c>
      <c r="L74" s="4"/>
      <c r="M74" s="4"/>
      <c r="N74" s="4"/>
    </row>
    <row r="75" spans="1:14" ht="13" x14ac:dyDescent="0.15">
      <c r="A75" s="1" t="s">
        <v>195</v>
      </c>
      <c r="B75" s="2">
        <f>155858.7/(63693+48.6+26.4+18642.6+14.1+155858.7)*C$14</f>
        <v>641.75502297829621</v>
      </c>
      <c r="C75" s="2">
        <v>0</v>
      </c>
      <c r="D75" s="2">
        <v>0</v>
      </c>
      <c r="E75" s="2">
        <f t="shared" si="10"/>
        <v>641.75502297829621</v>
      </c>
      <c r="L75" s="4"/>
      <c r="M75" s="4"/>
      <c r="N75" s="4"/>
    </row>
    <row r="76" spans="1:14" ht="13" x14ac:dyDescent="0.15">
      <c r="A76" s="1" t="s">
        <v>243</v>
      </c>
      <c r="B76" s="1">
        <f>165.9/(165.9+64979.1+21162+23358.3+9.3)*C$15</f>
        <v>0.40129047021117142</v>
      </c>
      <c r="C76" s="2">
        <v>0</v>
      </c>
      <c r="D76" s="2">
        <v>0</v>
      </c>
      <c r="E76" s="2">
        <f t="shared" si="10"/>
        <v>0.40129047021117142</v>
      </c>
      <c r="L76" s="4"/>
      <c r="M76" s="4"/>
      <c r="N76" s="4"/>
    </row>
    <row r="77" spans="1:14" ht="13" x14ac:dyDescent="0.15">
      <c r="A77" s="1" t="s">
        <v>244</v>
      </c>
      <c r="B77" s="1">
        <f>64979.1/(165.9+64979.1+21162+23358.3+9.3)*C$15</f>
        <v>157.17597102410323</v>
      </c>
      <c r="C77" s="2">
        <v>0</v>
      </c>
      <c r="D77" s="2">
        <v>0</v>
      </c>
      <c r="E77" s="2">
        <f t="shared" si="10"/>
        <v>157.17597102410323</v>
      </c>
      <c r="L77" s="4"/>
      <c r="M77" s="4"/>
      <c r="N77" s="4"/>
    </row>
    <row r="78" spans="1:14" ht="13" x14ac:dyDescent="0.15">
      <c r="A78" s="1" t="s">
        <v>245</v>
      </c>
      <c r="B78" s="1">
        <f>21162/(165.9+64979.1+21162+23358.3+9.3)*C$15</f>
        <v>51.188118930734227</v>
      </c>
      <c r="C78" s="2">
        <v>0</v>
      </c>
      <c r="D78" s="2">
        <v>0</v>
      </c>
      <c r="E78" s="2">
        <f t="shared" si="10"/>
        <v>51.188118930734227</v>
      </c>
      <c r="L78" s="4"/>
      <c r="M78" s="4"/>
      <c r="N78" s="4"/>
    </row>
    <row r="79" spans="1:14" ht="13" x14ac:dyDescent="0.15">
      <c r="A79" s="1" t="s">
        <v>200</v>
      </c>
      <c r="B79" s="1">
        <f>23358.3/(165.9+64979.1+21162+23358.3+9.3)*C$15</f>
        <v>56.50068228049188</v>
      </c>
      <c r="C79" s="2">
        <v>0</v>
      </c>
      <c r="D79" s="2">
        <v>0</v>
      </c>
      <c r="E79" s="2">
        <f t="shared" si="10"/>
        <v>56.50068228049188</v>
      </c>
      <c r="L79" s="4"/>
      <c r="M79" s="4"/>
      <c r="N79" s="4"/>
    </row>
    <row r="80" spans="1:14" ht="13" x14ac:dyDescent="0.15">
      <c r="A80" s="1" t="s">
        <v>246</v>
      </c>
      <c r="B80" s="1">
        <f>9.3/(165.9+64979.1+21162+23358.3+9.3)*C$15</f>
        <v>2.2495487480192249E-2</v>
      </c>
      <c r="C80" s="2">
        <v>0</v>
      </c>
      <c r="D80" s="2">
        <v>0</v>
      </c>
      <c r="E80" s="2">
        <f t="shared" si="10"/>
        <v>2.2495487480192249E-2</v>
      </c>
      <c r="L80" s="4"/>
      <c r="M80" s="4"/>
      <c r="N80" s="4"/>
    </row>
    <row r="81" spans="1:14" ht="13" x14ac:dyDescent="0.15">
      <c r="A81" s="1" t="s">
        <v>247</v>
      </c>
      <c r="B81" s="1">
        <f>161310.9/(161310.9+13184.4+2100.3+166471.8+624655.7+484553.1)*C$16</f>
        <v>4.933900314956615</v>
      </c>
      <c r="C81" s="2">
        <v>0</v>
      </c>
      <c r="D81" s="2">
        <v>0</v>
      </c>
      <c r="E81" s="2">
        <f t="shared" si="10"/>
        <v>4.933900314956615</v>
      </c>
      <c r="L81" s="4"/>
      <c r="M81" s="4"/>
      <c r="N81" s="4"/>
    </row>
    <row r="82" spans="1:14" ht="13" x14ac:dyDescent="0.15">
      <c r="A82" s="1" t="s">
        <v>248</v>
      </c>
      <c r="B82" s="1">
        <f>13184.4/(161310.9+13184.4+2100.3+166471.8+624655.7+484553.1)*C$16</f>
        <v>0.40326174680392957</v>
      </c>
      <c r="C82" s="2">
        <v>0</v>
      </c>
      <c r="D82" s="2">
        <v>0</v>
      </c>
      <c r="E82" s="2">
        <f t="shared" si="10"/>
        <v>0.40326174680392957</v>
      </c>
      <c r="L82" s="4"/>
      <c r="M82" s="4"/>
      <c r="N82" s="4"/>
    </row>
    <row r="83" spans="1:14" ht="13" x14ac:dyDescent="0.15">
      <c r="A83" s="1" t="s">
        <v>198</v>
      </c>
      <c r="B83" s="1">
        <f>2100.3/(161310.9+13184.4+2100.3+166471.8+624655.7+484553.1)*C$16</f>
        <v>6.4240363369762243E-2</v>
      </c>
      <c r="C83" s="2">
        <v>0</v>
      </c>
      <c r="D83" s="2">
        <v>0</v>
      </c>
      <c r="E83" s="2">
        <f t="shared" si="10"/>
        <v>6.4240363369762243E-2</v>
      </c>
      <c r="L83" s="4"/>
      <c r="M83" s="4"/>
      <c r="N83" s="4"/>
    </row>
    <row r="84" spans="1:14" ht="13" x14ac:dyDescent="0.15">
      <c r="A84" s="1" t="s">
        <v>249</v>
      </c>
      <c r="B84" s="1">
        <f>166471.8/(161310.9+13184.4+2100.3+166471.8+624655.7+484553.1)*C$16</f>
        <v>5.0917530461450191</v>
      </c>
      <c r="C84" s="2">
        <v>0</v>
      </c>
      <c r="D84" s="2">
        <v>0</v>
      </c>
      <c r="E84" s="2">
        <f t="shared" si="10"/>
        <v>5.0917530461450191</v>
      </c>
      <c r="L84" s="4"/>
      <c r="M84" s="4"/>
      <c r="N84" s="4"/>
    </row>
    <row r="85" spans="1:14" ht="13" x14ac:dyDescent="0.15">
      <c r="A85" s="1" t="s">
        <v>194</v>
      </c>
      <c r="B85" s="1">
        <f>624655.7/(161310.9+13184.4+2100.3+166471.8+624655.7+484553.1)*C$16</f>
        <v>19.105893990855204</v>
      </c>
      <c r="C85" s="2">
        <v>0</v>
      </c>
      <c r="D85" s="2">
        <v>0</v>
      </c>
      <c r="E85" s="2">
        <f t="shared" si="10"/>
        <v>19.105893990855204</v>
      </c>
      <c r="L85" s="4"/>
      <c r="M85" s="4"/>
      <c r="N85" s="4"/>
    </row>
    <row r="86" spans="1:14" ht="13" x14ac:dyDescent="0.15">
      <c r="A86" s="1" t="s">
        <v>250</v>
      </c>
      <c r="B86" s="1">
        <f>484553.1/(161310.9+13184.4+2100.3+166471.8+624655.7+484553.1)*C$16</f>
        <v>14.820676672829947</v>
      </c>
      <c r="C86" s="2">
        <v>0</v>
      </c>
      <c r="D86" s="2">
        <v>0</v>
      </c>
      <c r="E86" s="2">
        <f t="shared" si="10"/>
        <v>14.820676672829947</v>
      </c>
      <c r="L86" s="4"/>
      <c r="M86" s="4"/>
      <c r="N86" s="4"/>
    </row>
    <row r="87" spans="1:14" ht="13" x14ac:dyDescent="0.15">
      <c r="L87" s="4"/>
      <c r="M87" s="4"/>
      <c r="N87" s="4"/>
    </row>
    <row r="88" spans="1:14" ht="13" x14ac:dyDescent="0.15">
      <c r="L88" s="4"/>
      <c r="M88" s="4"/>
      <c r="N88" s="4"/>
    </row>
    <row r="89" spans="1:14" ht="13" x14ac:dyDescent="0.15">
      <c r="L89" s="4"/>
      <c r="M89" s="4"/>
      <c r="N89" s="4"/>
    </row>
    <row r="90" spans="1:14" ht="13" x14ac:dyDescent="0.15">
      <c r="L90" s="4"/>
      <c r="M90" s="4"/>
      <c r="N90" s="4"/>
    </row>
    <row r="91" spans="1:14" ht="13" x14ac:dyDescent="0.15">
      <c r="A91" s="1"/>
      <c r="B91" s="1" t="s">
        <v>33</v>
      </c>
      <c r="C91" s="1" t="s">
        <v>34</v>
      </c>
      <c r="D91" s="1" t="s">
        <v>35</v>
      </c>
      <c r="L91" s="4"/>
      <c r="M91" s="4"/>
      <c r="N91" s="4"/>
    </row>
    <row r="92" spans="1:14" ht="13" x14ac:dyDescent="0.15">
      <c r="A92" s="1" t="s">
        <v>10</v>
      </c>
      <c r="B92" s="9">
        <v>0</v>
      </c>
      <c r="C92" s="9">
        <v>0</v>
      </c>
      <c r="D92" s="2">
        <v>12053.315000000001</v>
      </c>
      <c r="F92" s="1" t="s">
        <v>10</v>
      </c>
      <c r="G92" s="29">
        <f>B107/$B$186*100</f>
        <v>7.2844575197497941</v>
      </c>
      <c r="H92" s="1" t="s">
        <v>10</v>
      </c>
      <c r="I92">
        <v>0</v>
      </c>
      <c r="J92">
        <v>1</v>
      </c>
      <c r="L92" s="4"/>
      <c r="M92" s="4"/>
      <c r="N92" s="4"/>
    </row>
    <row r="93" spans="1:14" ht="13" x14ac:dyDescent="0.15">
      <c r="A93" s="1" t="s">
        <v>14</v>
      </c>
      <c r="B93" s="9">
        <v>0</v>
      </c>
      <c r="C93" s="9">
        <v>0</v>
      </c>
      <c r="D93" s="2">
        <v>3455.7527100000002</v>
      </c>
      <c r="F93" s="1" t="s">
        <v>9</v>
      </c>
      <c r="G93" s="29">
        <f t="shared" ref="G93:G101" si="11">B109/$B$186*100</f>
        <v>8.7801749324948766</v>
      </c>
      <c r="H93" s="1" t="s">
        <v>10</v>
      </c>
      <c r="I93">
        <v>0</v>
      </c>
      <c r="J93">
        <v>1</v>
      </c>
      <c r="L93" s="4"/>
      <c r="M93" s="4"/>
      <c r="N93" s="4"/>
    </row>
    <row r="94" spans="1:14" ht="13" x14ac:dyDescent="0.15">
      <c r="A94" s="1" t="s">
        <v>15</v>
      </c>
      <c r="B94" s="9">
        <v>0</v>
      </c>
      <c r="C94" s="9">
        <v>0</v>
      </c>
      <c r="D94" s="2">
        <v>5759.5878499999999</v>
      </c>
      <c r="F94" s="1" t="s">
        <v>345</v>
      </c>
      <c r="G94" s="29">
        <f t="shared" si="11"/>
        <v>4.5941404052369057</v>
      </c>
      <c r="H94" s="1" t="s">
        <v>10</v>
      </c>
      <c r="I94">
        <v>0</v>
      </c>
      <c r="J94">
        <v>1</v>
      </c>
      <c r="L94" s="4"/>
      <c r="M94" s="4"/>
      <c r="N94" s="4"/>
    </row>
    <row r="95" spans="1:14" ht="13" x14ac:dyDescent="0.15">
      <c r="A95" s="1" t="s">
        <v>38</v>
      </c>
      <c r="B95" s="9">
        <v>0</v>
      </c>
      <c r="C95" s="9">
        <f>136659.35/(136659.35+400.288+81.922)*D$3</f>
        <v>12010.93376249512</v>
      </c>
      <c r="D95" s="2">
        <v>0</v>
      </c>
      <c r="F95" s="1" t="s">
        <v>350</v>
      </c>
      <c r="G95" s="29">
        <f t="shared" si="11"/>
        <v>7.7563343354653789</v>
      </c>
      <c r="H95" s="1" t="s">
        <v>10</v>
      </c>
      <c r="I95">
        <v>0</v>
      </c>
      <c r="J95">
        <v>1</v>
      </c>
      <c r="L95" s="4"/>
      <c r="M95" s="4"/>
      <c r="N95" s="4"/>
    </row>
    <row r="96" spans="1:14" ht="13" x14ac:dyDescent="0.15">
      <c r="A96" s="1" t="s">
        <v>178</v>
      </c>
      <c r="B96" s="9">
        <v>0</v>
      </c>
      <c r="C96" s="9">
        <f>81.922/(136659.35+400.288+81.922)*D$3</f>
        <v>7.2000907050350014</v>
      </c>
      <c r="D96" s="2">
        <v>0</v>
      </c>
      <c r="F96" s="1" t="s">
        <v>351</v>
      </c>
      <c r="G96" s="29">
        <f t="shared" si="11"/>
        <v>3.0720060192795571</v>
      </c>
      <c r="H96" s="1" t="s">
        <v>10</v>
      </c>
      <c r="I96">
        <v>0</v>
      </c>
      <c r="J96">
        <v>1</v>
      </c>
      <c r="L96" s="4"/>
      <c r="M96" s="4"/>
      <c r="N96" s="4"/>
    </row>
    <row r="97" spans="1:14" ht="13" x14ac:dyDescent="0.15">
      <c r="A97" s="1" t="s">
        <v>78</v>
      </c>
      <c r="B97" s="9">
        <v>0</v>
      </c>
      <c r="C97" s="9">
        <f>938.16/(938.16+467.68+62.18+5456.664+0.532)*D$4-400.288/(136659.35+400.288+81.922)*D$3</f>
        <v>432.97016608535415</v>
      </c>
      <c r="D97" s="2">
        <v>0</v>
      </c>
      <c r="F97" s="1" t="s">
        <v>352</v>
      </c>
      <c r="G97" s="29">
        <f t="shared" si="11"/>
        <v>0.24114728060236609</v>
      </c>
      <c r="H97" s="1" t="s">
        <v>10</v>
      </c>
      <c r="I97">
        <v>0</v>
      </c>
      <c r="J97">
        <v>1</v>
      </c>
      <c r="L97" s="4"/>
      <c r="M97" s="4"/>
      <c r="N97" s="4"/>
    </row>
    <row r="98" spans="1:14" ht="13" x14ac:dyDescent="0.15">
      <c r="A98" s="1" t="s">
        <v>179</v>
      </c>
      <c r="B98" s="9">
        <v>0</v>
      </c>
      <c r="C98" s="9">
        <f>5456.664/(938.16+467.68+62.18+5456.664+0.532)*D$4</f>
        <v>2722.9304335863953</v>
      </c>
      <c r="D98" s="2">
        <v>0</v>
      </c>
      <c r="F98" s="1" t="s">
        <v>353</v>
      </c>
      <c r="G98" s="29">
        <f t="shared" si="11"/>
        <v>1.4174951360452279</v>
      </c>
      <c r="H98" s="1" t="s">
        <v>10</v>
      </c>
      <c r="I98">
        <v>0</v>
      </c>
      <c r="J98">
        <v>1</v>
      </c>
      <c r="L98" s="4"/>
      <c r="M98" s="4"/>
      <c r="N98" s="4"/>
    </row>
    <row r="99" spans="1:14" ht="13" x14ac:dyDescent="0.15">
      <c r="A99" s="1" t="s">
        <v>86</v>
      </c>
      <c r="B99" s="9">
        <v>0</v>
      </c>
      <c r="C99" s="9">
        <f>0.532/(938.16+467.68+62.18+5456.664+0.532)*D$4</f>
        <v>0.26547337176486629</v>
      </c>
      <c r="D99" s="2">
        <v>0</v>
      </c>
      <c r="F99" s="1" t="s">
        <v>354</v>
      </c>
      <c r="G99" s="29">
        <f t="shared" si="11"/>
        <v>4.4923244518964227E-2</v>
      </c>
      <c r="H99" s="1" t="s">
        <v>10</v>
      </c>
      <c r="I99">
        <v>0</v>
      </c>
      <c r="J99">
        <v>1</v>
      </c>
      <c r="L99" s="4"/>
      <c r="M99" s="4"/>
      <c r="N99" s="4"/>
    </row>
    <row r="100" spans="1:14" ht="13" x14ac:dyDescent="0.15">
      <c r="A100" s="1" t="s">
        <v>180</v>
      </c>
      <c r="B100" s="9">
        <v>0</v>
      </c>
      <c r="C100" s="9">
        <f>62.18/(938.16+467.68+62.18+5456.664+0.532)*D$4</f>
        <v>31.028447850262001</v>
      </c>
      <c r="D100" s="2">
        <v>0</v>
      </c>
      <c r="F100" s="1" t="s">
        <v>355</v>
      </c>
      <c r="G100" s="29">
        <f t="shared" si="11"/>
        <v>0.9211005064972515</v>
      </c>
      <c r="H100" s="1" t="s">
        <v>10</v>
      </c>
      <c r="I100">
        <v>0</v>
      </c>
      <c r="J100">
        <v>1</v>
      </c>
      <c r="L100" s="4"/>
      <c r="M100" s="4"/>
      <c r="N100" s="4"/>
    </row>
    <row r="101" spans="1:14" ht="13" x14ac:dyDescent="0.15">
      <c r="A101" s="1" t="s">
        <v>181</v>
      </c>
      <c r="B101" s="9">
        <v>0</v>
      </c>
      <c r="C101" s="9">
        <f>467.68/(938.16+467.68+62.18+5456.664+0.532)*D$4</f>
        <v>233.37704230637718</v>
      </c>
      <c r="D101" s="2">
        <v>0</v>
      </c>
      <c r="F101" s="1" t="s">
        <v>6</v>
      </c>
      <c r="G101" s="29">
        <f t="shared" si="11"/>
        <v>22.548130036178936</v>
      </c>
      <c r="H101" s="1" t="s">
        <v>10</v>
      </c>
      <c r="I101">
        <v>0</v>
      </c>
      <c r="J101">
        <v>1</v>
      </c>
      <c r="L101" s="4"/>
      <c r="M101" s="4"/>
      <c r="N101" s="4"/>
    </row>
    <row r="102" spans="1:14" ht="13" x14ac:dyDescent="0.15">
      <c r="A102" s="1"/>
      <c r="B102" s="9"/>
      <c r="C102" s="9"/>
      <c r="D102" s="2"/>
      <c r="F102" s="1" t="s">
        <v>10</v>
      </c>
      <c r="G102" s="29">
        <f>C95/C186*100</f>
        <v>56.659909416069254</v>
      </c>
      <c r="H102" s="1" t="s">
        <v>10</v>
      </c>
      <c r="I102">
        <v>1</v>
      </c>
      <c r="J102">
        <v>2</v>
      </c>
      <c r="L102" s="4"/>
      <c r="M102" s="4"/>
      <c r="N102" s="4"/>
    </row>
    <row r="103" spans="1:14" ht="13" x14ac:dyDescent="0.15">
      <c r="A103" s="1" t="s">
        <v>80</v>
      </c>
      <c r="B103" s="9">
        <v>0</v>
      </c>
      <c r="C103" s="9">
        <f>2979.646/(2979.646+29.618+654.202+176.888)*D$5</f>
        <v>4468.7372307087053</v>
      </c>
      <c r="D103" s="2">
        <v>0</v>
      </c>
      <c r="F103" s="1" t="s">
        <v>345</v>
      </c>
      <c r="G103" s="29">
        <f>B118/$B$186*100</f>
        <v>5.1378024134046644E-5</v>
      </c>
      <c r="H103" s="1" t="s">
        <v>13</v>
      </c>
      <c r="I103">
        <v>0</v>
      </c>
      <c r="J103">
        <v>1</v>
      </c>
      <c r="L103" s="4"/>
      <c r="M103" s="4"/>
      <c r="N103" s="4"/>
    </row>
    <row r="104" spans="1:14" ht="13" x14ac:dyDescent="0.15">
      <c r="A104" s="1" t="s">
        <v>182</v>
      </c>
      <c r="B104" s="9">
        <v>0</v>
      </c>
      <c r="C104" s="9">
        <f>654.202/(2979.646+29.618+654.202+176.888)*D$5</f>
        <v>981.14233496331326</v>
      </c>
      <c r="D104" s="2">
        <v>0</v>
      </c>
      <c r="F104" s="1" t="s">
        <v>350</v>
      </c>
      <c r="G104" s="29">
        <f>B120/$B$186*100</f>
        <v>2.012355496087179E-2</v>
      </c>
      <c r="H104" s="1" t="s">
        <v>13</v>
      </c>
      <c r="I104">
        <v>0</v>
      </c>
      <c r="J104">
        <v>1</v>
      </c>
      <c r="L104" s="4"/>
      <c r="M104" s="4"/>
      <c r="N104" s="4"/>
    </row>
    <row r="105" spans="1:14" ht="13" x14ac:dyDescent="0.15">
      <c r="A105" s="1" t="s">
        <v>90</v>
      </c>
      <c r="B105" s="9">
        <v>0</v>
      </c>
      <c r="C105" s="9">
        <f>176.888/(2979.646+29.618+654.202+176.888)*D$5</f>
        <v>265.28855819302072</v>
      </c>
      <c r="D105" s="2">
        <v>0</v>
      </c>
      <c r="F105" s="1" t="s">
        <v>354</v>
      </c>
      <c r="G105" s="29">
        <f>B121/$B$186*100</f>
        <v>6.55371758122179E-3</v>
      </c>
      <c r="H105" s="1" t="s">
        <v>13</v>
      </c>
      <c r="I105">
        <v>0</v>
      </c>
      <c r="J105">
        <v>1</v>
      </c>
      <c r="L105" s="4"/>
      <c r="M105" s="4"/>
      <c r="N105" s="4"/>
    </row>
    <row r="106" spans="1:14" ht="13" x14ac:dyDescent="0.15">
      <c r="A106" s="1" t="s">
        <v>183</v>
      </c>
      <c r="B106" s="9">
        <v>0</v>
      </c>
      <c r="C106" s="9">
        <f>29.618/(2979.646+29.618+654.202+176.888)*D$5</f>
        <v>44.41972613496047</v>
      </c>
      <c r="D106" s="2">
        <v>0</v>
      </c>
      <c r="F106" s="1" t="s">
        <v>6</v>
      </c>
      <c r="G106" s="29">
        <f>B122/$B$186*100</f>
        <v>7.2338957271265913E-3</v>
      </c>
      <c r="H106" s="1" t="s">
        <v>13</v>
      </c>
      <c r="I106">
        <v>0</v>
      </c>
      <c r="J106">
        <v>1</v>
      </c>
      <c r="L106" s="4"/>
      <c r="M106" s="4"/>
      <c r="N106" s="4"/>
    </row>
    <row r="107" spans="1:14" ht="13" x14ac:dyDescent="0.15">
      <c r="A107" s="1" t="s">
        <v>50</v>
      </c>
      <c r="B107" s="2">
        <f>1331344.4/(1604709.3+839648.4+168345+1331344.4+1417587+561455.4+44073.3+259068.6+8210.4+4121010.6)*C$6</f>
        <v>1544.1806679029112</v>
      </c>
      <c r="C107" s="2">
        <v>0</v>
      </c>
      <c r="D107" s="2">
        <v>0</v>
      </c>
      <c r="F107" s="1" t="s">
        <v>356</v>
      </c>
      <c r="G107" s="29">
        <f>B123/$B$186*100</f>
        <v>2.8801424017277505E-6</v>
      </c>
      <c r="H107" s="1" t="s">
        <v>13</v>
      </c>
      <c r="I107">
        <v>0</v>
      </c>
      <c r="J107">
        <v>1</v>
      </c>
      <c r="L107" s="4"/>
      <c r="M107" s="4"/>
      <c r="N107" s="4"/>
    </row>
    <row r="108" spans="1:14" ht="13" x14ac:dyDescent="0.15">
      <c r="A108" s="1"/>
      <c r="B108" s="2"/>
      <c r="C108" s="2"/>
      <c r="D108" s="2"/>
      <c r="F108" s="1" t="s">
        <v>13</v>
      </c>
      <c r="G108" s="29">
        <f>C96/C186*100</f>
        <v>3.3965426435755945E-2</v>
      </c>
      <c r="H108" s="1" t="s">
        <v>10</v>
      </c>
      <c r="I108">
        <v>1</v>
      </c>
      <c r="J108">
        <v>2</v>
      </c>
      <c r="L108" s="4"/>
      <c r="M108" s="4"/>
      <c r="N108" s="4"/>
    </row>
    <row r="109" spans="1:14" ht="13" x14ac:dyDescent="0.15">
      <c r="A109" s="1" t="s">
        <v>62</v>
      </c>
      <c r="B109" s="2">
        <f>1604709.3/(1604709.3+839648.4+168345+1331344.4+1417587+561455.4+44073.3+259068.6+8210.4+4121010.6)*C$6</f>
        <v>1861.2472314932288</v>
      </c>
      <c r="C109" s="2">
        <v>0</v>
      </c>
      <c r="D109" s="2">
        <v>0</v>
      </c>
      <c r="F109" s="1" t="s">
        <v>10</v>
      </c>
      <c r="G109" s="29">
        <f>B124/$B$186*100</f>
        <v>0.27960035679543566</v>
      </c>
      <c r="H109" s="1" t="s">
        <v>10</v>
      </c>
      <c r="I109">
        <v>0</v>
      </c>
      <c r="J109">
        <v>1</v>
      </c>
      <c r="L109" s="4"/>
      <c r="M109" s="4"/>
      <c r="N109" s="4"/>
    </row>
    <row r="110" spans="1:14" ht="13" x14ac:dyDescent="0.15">
      <c r="A110" s="1" t="s">
        <v>150</v>
      </c>
      <c r="B110" s="2">
        <f>839648.4/(1604709.3+839648.4+168345+1331344.4+1417587+561455.4+44073.3+259068.6+8210.4+4121010.6)*C$6</f>
        <v>973.87935617231051</v>
      </c>
      <c r="C110" s="2">
        <v>0</v>
      </c>
      <c r="D110" s="2">
        <v>0</v>
      </c>
      <c r="F110" s="1" t="s">
        <v>9</v>
      </c>
      <c r="G110" s="29">
        <f>B125/$B$186*100</f>
        <v>0.31650776483768117</v>
      </c>
      <c r="H110" s="1" t="s">
        <v>10</v>
      </c>
      <c r="I110">
        <v>0</v>
      </c>
      <c r="J110">
        <v>1</v>
      </c>
      <c r="L110" s="4"/>
      <c r="M110" s="4"/>
      <c r="N110" s="4"/>
    </row>
    <row r="111" spans="1:14" ht="13" x14ac:dyDescent="0.15">
      <c r="A111" s="1" t="s">
        <v>189</v>
      </c>
      <c r="B111" s="2">
        <f>1417587/(1604709.3+839648.4+168345+1331344.4+1417587+561455.4+44073.3+259068.6+8210.4+4121010.6)*C$6</f>
        <v>1644.210499154452</v>
      </c>
      <c r="C111" s="2">
        <v>0</v>
      </c>
      <c r="D111" s="2">
        <v>0</v>
      </c>
      <c r="F111" s="1" t="s">
        <v>345</v>
      </c>
      <c r="G111" s="29">
        <f>B127/$B$186*100</f>
        <v>0.16560958320210095</v>
      </c>
      <c r="H111" s="1" t="s">
        <v>10</v>
      </c>
      <c r="I111">
        <v>0</v>
      </c>
      <c r="J111">
        <v>1</v>
      </c>
      <c r="L111" s="4"/>
      <c r="M111" s="4"/>
      <c r="N111" s="4"/>
    </row>
    <row r="112" spans="1:14" ht="13" x14ac:dyDescent="0.15">
      <c r="A112" s="1" t="s">
        <v>193</v>
      </c>
      <c r="B112" s="2">
        <f>561455.4/(1604709.3+839648.4+168345+1331344.4+1417587+561455.4+44073.3+259068.6+8210.4+4121010.6)*C$6</f>
        <v>651.2128451283503</v>
      </c>
      <c r="C112" s="2">
        <v>0</v>
      </c>
      <c r="D112" s="2">
        <v>0</v>
      </c>
      <c r="F112" s="1" t="s">
        <v>355</v>
      </c>
      <c r="G112" s="29">
        <f>B128/$B$186*100</f>
        <v>0.26259014032832212</v>
      </c>
      <c r="H112" s="1" t="s">
        <v>10</v>
      </c>
      <c r="I112">
        <v>0</v>
      </c>
      <c r="J112">
        <v>1</v>
      </c>
      <c r="L112" s="4"/>
      <c r="M112" s="4"/>
      <c r="N112" s="4"/>
    </row>
    <row r="113" spans="1:14" ht="13" x14ac:dyDescent="0.15">
      <c r="A113" s="1" t="s">
        <v>197</v>
      </c>
      <c r="B113" s="2">
        <f>44073.3/(1604709.3+839648.4+168345+1331344.4+1417587+561455.4+44073.3+259068.6+8210.4+4121010.6)*C$6</f>
        <v>51.119107746038814</v>
      </c>
      <c r="C113" s="2">
        <v>0</v>
      </c>
      <c r="D113" s="2">
        <v>0</v>
      </c>
      <c r="F113" s="1" t="s">
        <v>350</v>
      </c>
      <c r="G113" s="29">
        <f>B129/$B$186*100</f>
        <v>0.11073967958560856</v>
      </c>
      <c r="H113" s="1" t="s">
        <v>10</v>
      </c>
      <c r="I113">
        <v>0</v>
      </c>
      <c r="J113">
        <v>1</v>
      </c>
      <c r="L113" s="4"/>
      <c r="M113" s="4"/>
      <c r="N113" s="4"/>
    </row>
    <row r="114" spans="1:14" ht="13" x14ac:dyDescent="0.15">
      <c r="A114" s="1" t="s">
        <v>199</v>
      </c>
      <c r="B114" s="2">
        <f>259068.6/(1604709.3+839648.4+168345+1331344.4+1417587+561455.4+44073.3+259068.6+8210.4+4121010.6)*C$6</f>
        <v>300.48477597582735</v>
      </c>
      <c r="C114" s="2">
        <v>0</v>
      </c>
      <c r="D114" s="2">
        <v>0</v>
      </c>
      <c r="F114" s="1" t="s">
        <v>351</v>
      </c>
      <c r="G114" s="29">
        <f>B130/$B$186*100</f>
        <v>8.6928776894485311E-3</v>
      </c>
      <c r="H114" s="1" t="s">
        <v>10</v>
      </c>
      <c r="I114">
        <v>0</v>
      </c>
      <c r="J114">
        <v>1</v>
      </c>
      <c r="L114" s="4"/>
      <c r="M114" s="4"/>
      <c r="N114" s="4"/>
    </row>
    <row r="115" spans="1:14" ht="13" x14ac:dyDescent="0.15">
      <c r="A115" s="1" t="s">
        <v>201</v>
      </c>
      <c r="B115" s="2">
        <f>8210.4/(1604709.3+839648.4+168345+1331344.4+1417587+561455.4+44073.3+259068.6+8210.4+4121010.6)*C$6</f>
        <v>9.5229611179121374</v>
      </c>
      <c r="C115" s="2">
        <v>0</v>
      </c>
      <c r="D115" s="2">
        <v>0</v>
      </c>
      <c r="F115" s="1" t="s">
        <v>352</v>
      </c>
      <c r="G115" s="29">
        <f>B131/$B$186*100</f>
        <v>5.1097867710760615E-2</v>
      </c>
      <c r="H115" s="1" t="s">
        <v>10</v>
      </c>
      <c r="I115">
        <v>0</v>
      </c>
      <c r="J115">
        <v>1</v>
      </c>
      <c r="L115" s="4"/>
      <c r="M115" s="4"/>
      <c r="N115" s="4"/>
    </row>
    <row r="116" spans="1:14" ht="13" x14ac:dyDescent="0.15">
      <c r="A116" s="1" t="s">
        <v>202</v>
      </c>
      <c r="B116" s="2">
        <f>168345/(1604709.3+839648.4+168345+1331344.4+1417587+561455.4+44073.3+259068.6+8210.4+4121010.6)*C$6</f>
        <v>195.25758664558595</v>
      </c>
      <c r="C116" s="2">
        <v>0</v>
      </c>
      <c r="D116" s="2">
        <v>0</v>
      </c>
      <c r="F116" s="1" t="s">
        <v>353</v>
      </c>
      <c r="G116" s="29">
        <f>B133/$B$186*100</f>
        <v>1.6193932149725164E-3</v>
      </c>
      <c r="H116" s="1" t="s">
        <v>10</v>
      </c>
      <c r="I116">
        <v>0</v>
      </c>
      <c r="J116">
        <v>1</v>
      </c>
      <c r="L116" s="4"/>
      <c r="M116" s="4"/>
      <c r="N116" s="4"/>
    </row>
    <row r="117" spans="1:14" ht="13" x14ac:dyDescent="0.15">
      <c r="A117" s="1" t="s">
        <v>204</v>
      </c>
      <c r="B117" s="2">
        <f>4121010.6/(1604709.3+839648.4+168345+1331344.4+1417587+561455.4+44073.3+259068.6+8210.4+4121010.6)*C$6</f>
        <v>4779.8187311585034</v>
      </c>
      <c r="C117" s="2">
        <v>0</v>
      </c>
      <c r="D117" s="2">
        <v>0</v>
      </c>
      <c r="F117" s="1" t="s">
        <v>354</v>
      </c>
      <c r="G117" s="29">
        <f>B134/$B$186*100</f>
        <v>3.3203833037921217E-2</v>
      </c>
      <c r="H117" s="1" t="s">
        <v>10</v>
      </c>
      <c r="I117">
        <v>0</v>
      </c>
      <c r="J117">
        <v>1</v>
      </c>
      <c r="L117" s="4"/>
      <c r="M117" s="4"/>
      <c r="N117" s="4"/>
    </row>
    <row r="118" spans="1:14" ht="13" x14ac:dyDescent="0.15">
      <c r="A118" s="1" t="s">
        <v>206</v>
      </c>
      <c r="B118" s="1">
        <f>165.9/(165.9+64979.1+21162+23358.3+9.3)*C$7</f>
        <v>1.0891264230417131E-2</v>
      </c>
      <c r="C118" s="2">
        <v>0</v>
      </c>
      <c r="D118" s="2">
        <v>0</v>
      </c>
      <c r="F118" s="1" t="s">
        <v>6</v>
      </c>
      <c r="G118" s="29">
        <f>B135/$B$186*100</f>
        <v>0.81281504000655525</v>
      </c>
      <c r="H118" s="1" t="s">
        <v>10</v>
      </c>
      <c r="I118">
        <v>0</v>
      </c>
      <c r="J118">
        <v>1</v>
      </c>
      <c r="L118" s="4"/>
      <c r="M118" s="4"/>
      <c r="N118" s="4"/>
    </row>
    <row r="119" spans="1:14" ht="13" x14ac:dyDescent="0.15">
      <c r="A119" s="1"/>
      <c r="B119" s="1"/>
      <c r="C119" s="2"/>
      <c r="D119" s="2"/>
      <c r="F119" s="1" t="s">
        <v>10</v>
      </c>
      <c r="G119" s="29">
        <f>C97/C186*100</f>
        <v>2.0424765364088064</v>
      </c>
      <c r="H119" s="1" t="s">
        <v>14</v>
      </c>
      <c r="I119">
        <v>1</v>
      </c>
      <c r="J119">
        <v>2</v>
      </c>
      <c r="L119" s="4"/>
      <c r="M119" s="4"/>
      <c r="N119" s="4"/>
    </row>
    <row r="120" spans="1:14" ht="13" x14ac:dyDescent="0.15">
      <c r="A120" s="1" t="s">
        <v>208</v>
      </c>
      <c r="B120" s="1">
        <f>64979.1/(165.9+64979.1+21162+23358.3+9.3)*C$7</f>
        <v>4.2658501962308488</v>
      </c>
      <c r="C120" s="2">
        <v>0</v>
      </c>
      <c r="D120" s="2">
        <v>0</v>
      </c>
      <c r="F120" s="1" t="s">
        <v>10</v>
      </c>
      <c r="G120" s="29">
        <f>B136/$B$186*100</f>
        <v>1.4231339802868528E-3</v>
      </c>
      <c r="H120" s="1" t="s">
        <v>14</v>
      </c>
      <c r="I120">
        <v>0</v>
      </c>
      <c r="J120">
        <v>1</v>
      </c>
      <c r="L120" s="4"/>
      <c r="M120" s="4"/>
      <c r="N120" s="4"/>
    </row>
    <row r="121" spans="1:14" ht="13" x14ac:dyDescent="0.15">
      <c r="A121" s="1" t="s">
        <v>209</v>
      </c>
      <c r="B121" s="1">
        <f>21162/(165.9+64979.1+21162+23358.3+9.3)*C$7</f>
        <v>1.3892762727190313</v>
      </c>
      <c r="C121" s="2">
        <v>0</v>
      </c>
      <c r="D121" s="2">
        <v>0</v>
      </c>
      <c r="F121" s="1" t="s">
        <v>345</v>
      </c>
      <c r="G121" s="29">
        <f>B137/$B$186*100</f>
        <v>2.6198602818917065E-3</v>
      </c>
      <c r="H121" s="1" t="s">
        <v>14</v>
      </c>
      <c r="I121">
        <v>0</v>
      </c>
      <c r="J121">
        <v>1</v>
      </c>
      <c r="L121" s="4"/>
      <c r="M121" s="4"/>
      <c r="N121" s="4"/>
    </row>
    <row r="122" spans="1:14" ht="13" x14ac:dyDescent="0.15">
      <c r="A122" s="1" t="s">
        <v>210</v>
      </c>
      <c r="B122" s="1">
        <f>23358.3/(165.9+64979.1+21162+23358.3+9.3)*C$7</f>
        <v>1.5334624308218954</v>
      </c>
      <c r="C122" s="2">
        <v>0</v>
      </c>
      <c r="D122" s="2">
        <v>0</v>
      </c>
      <c r="F122" s="1" t="s">
        <v>9</v>
      </c>
      <c r="G122" s="29">
        <f>B138/$B$186*100</f>
        <v>3.4334724472125191</v>
      </c>
      <c r="H122" s="1" t="s">
        <v>14</v>
      </c>
      <c r="I122">
        <v>0</v>
      </c>
      <c r="J122">
        <v>1</v>
      </c>
      <c r="L122" s="4"/>
      <c r="M122" s="4"/>
      <c r="N122" s="4"/>
    </row>
    <row r="123" spans="1:14" ht="13" x14ac:dyDescent="0.15">
      <c r="A123" s="1" t="s">
        <v>211</v>
      </c>
      <c r="B123" s="1">
        <f>9.3/(165.9+64979.1+21162+23358.3+9.3)*C$7</f>
        <v>6.105410328081937E-4</v>
      </c>
      <c r="C123" s="2">
        <v>0</v>
      </c>
      <c r="D123" s="2">
        <v>0</v>
      </c>
      <c r="F123" s="1" t="s">
        <v>350</v>
      </c>
      <c r="G123" s="29">
        <f>B140/$B$186*100</f>
        <v>1.0049589977611999</v>
      </c>
      <c r="H123" s="1" t="s">
        <v>14</v>
      </c>
      <c r="I123">
        <v>0</v>
      </c>
      <c r="J123">
        <v>1</v>
      </c>
      <c r="L123" s="4"/>
      <c r="M123" s="4"/>
      <c r="N123" s="4"/>
    </row>
    <row r="124" spans="1:14" ht="13" x14ac:dyDescent="0.15">
      <c r="A124" s="1" t="s">
        <v>83</v>
      </c>
      <c r="B124" s="2">
        <f>1417587/(1604709.3+839648.4+168345+1331344.4+1417587+561455.4+44073.3+259068.6+8210.4+4121010.6)*C$8</f>
        <v>59.270503607398062</v>
      </c>
      <c r="C124" s="2">
        <v>0</v>
      </c>
      <c r="D124" s="2">
        <v>0</v>
      </c>
      <c r="F124" s="1" t="s">
        <v>357</v>
      </c>
      <c r="G124" s="29">
        <f>B142/$B$186*100</f>
        <v>7.6008292128956908E-4</v>
      </c>
      <c r="H124" s="1" t="s">
        <v>14</v>
      </c>
      <c r="I124">
        <v>0</v>
      </c>
      <c r="J124">
        <v>1</v>
      </c>
      <c r="L124" s="4"/>
      <c r="M124" s="4"/>
      <c r="N124" s="4"/>
    </row>
    <row r="125" spans="1:14" ht="13" x14ac:dyDescent="0.15">
      <c r="A125" s="1" t="s">
        <v>95</v>
      </c>
      <c r="B125" s="2">
        <f>1604709.3/(1604709.3+839648.4+168345+1331344.4+1417587+561455.4+44073.3+259068.6+8210.4+4121010.6)*C$8</f>
        <v>67.094244201220263</v>
      </c>
      <c r="C125" s="2">
        <v>0</v>
      </c>
      <c r="D125" s="2">
        <v>0</v>
      </c>
      <c r="F125" s="1" t="s">
        <v>6</v>
      </c>
      <c r="G125" s="29">
        <f>B143/$B$186*100</f>
        <v>8.4018110641414587</v>
      </c>
      <c r="H125" s="1" t="s">
        <v>14</v>
      </c>
      <c r="I125">
        <v>0</v>
      </c>
      <c r="J125">
        <v>1</v>
      </c>
      <c r="L125" s="4"/>
      <c r="M125" s="4"/>
      <c r="N125" s="4"/>
    </row>
    <row r="126" spans="1:14" ht="13" x14ac:dyDescent="0.15">
      <c r="A126" s="1"/>
      <c r="B126" s="2"/>
      <c r="C126" s="2"/>
      <c r="D126" s="2"/>
      <c r="F126" s="1" t="s">
        <v>14</v>
      </c>
      <c r="G126" s="29">
        <f>C98/C186*100</f>
        <v>12.845045586298646</v>
      </c>
      <c r="H126" s="1" t="s">
        <v>14</v>
      </c>
      <c r="I126">
        <v>1</v>
      </c>
      <c r="J126">
        <v>2</v>
      </c>
      <c r="L126" s="4"/>
      <c r="M126" s="4"/>
      <c r="N126" s="4"/>
    </row>
    <row r="127" spans="1:14" ht="13" x14ac:dyDescent="0.15">
      <c r="A127" s="1" t="s">
        <v>164</v>
      </c>
      <c r="B127" s="2">
        <f>839648.4/(1604709.3+839648.4+168345+1331344.4+1417587+561455.4+44073.3+259068.6+8210.4+4121010.6)*C$8</f>
        <v>35.106405124444571</v>
      </c>
      <c r="C127" s="2">
        <v>0</v>
      </c>
      <c r="D127" s="2">
        <v>0</v>
      </c>
      <c r="F127" s="1" t="s">
        <v>345</v>
      </c>
      <c r="G127" s="29">
        <f>B144/$B$186*100</f>
        <v>1.8943507603236135E-6</v>
      </c>
      <c r="H127" s="1" t="s">
        <v>13</v>
      </c>
      <c r="I127">
        <v>0</v>
      </c>
      <c r="J127">
        <v>1</v>
      </c>
      <c r="L127" s="4"/>
      <c r="M127" s="4"/>
      <c r="N127" s="4"/>
    </row>
    <row r="128" spans="1:14" ht="13" x14ac:dyDescent="0.15">
      <c r="A128" s="1" t="s">
        <v>212</v>
      </c>
      <c r="B128" s="2">
        <f>1331344.4/(1604709.3+839648.4+168345+1331344.4+1417587+561455.4+44073.3+259068.6+8210.4+4121010.6)*C$8</f>
        <v>55.664628035449816</v>
      </c>
      <c r="C128" s="2">
        <v>0</v>
      </c>
      <c r="D128" s="2">
        <v>0</v>
      </c>
      <c r="F128" s="1" t="s">
        <v>350</v>
      </c>
      <c r="G128" s="29">
        <f>B145/$B$186*100</f>
        <v>7.4197231760183299E-4</v>
      </c>
      <c r="H128" s="1" t="s">
        <v>13</v>
      </c>
      <c r="I128">
        <v>0</v>
      </c>
      <c r="J128">
        <v>1</v>
      </c>
      <c r="L128" s="4"/>
      <c r="M128" s="4"/>
      <c r="N128" s="4"/>
    </row>
    <row r="129" spans="1:14" ht="13" x14ac:dyDescent="0.15">
      <c r="A129" s="1" t="s">
        <v>213</v>
      </c>
      <c r="B129" s="2">
        <f>561455.4/(1604709.3+839648.4+168345+1331344.4+1417587+561455.4+44073.3+259068.6+8210.4+4121010.6)*C$8</f>
        <v>23.474922040829327</v>
      </c>
      <c r="C129" s="2">
        <v>0</v>
      </c>
      <c r="D129" s="2">
        <v>0</v>
      </c>
      <c r="F129" s="1" t="s">
        <v>354</v>
      </c>
      <c r="G129" s="29">
        <f>B146/$B$186*100</f>
        <v>2.4164105358630687E-4</v>
      </c>
      <c r="H129" s="1" t="s">
        <v>13</v>
      </c>
      <c r="I129">
        <v>0</v>
      </c>
      <c r="J129">
        <v>1</v>
      </c>
      <c r="L129" s="4"/>
      <c r="M129" s="4"/>
      <c r="N129" s="4"/>
    </row>
    <row r="130" spans="1:14" ht="13" x14ac:dyDescent="0.15">
      <c r="A130" s="1" t="s">
        <v>214</v>
      </c>
      <c r="B130" s="2">
        <f>44073.3/(1604709.3+839648.4+168345+1331344.4+1417587+561455.4+44073.3+259068.6+8210.4+4121010.6)*C$8</f>
        <v>1.8427417058987823</v>
      </c>
      <c r="C130" s="2">
        <v>0</v>
      </c>
      <c r="D130" s="2">
        <v>0</v>
      </c>
      <c r="F130" s="1" t="s">
        <v>6</v>
      </c>
      <c r="G130" s="29">
        <f>B147/$B$186*100</f>
        <v>2.6671979122885501E-4</v>
      </c>
      <c r="H130" s="1" t="s">
        <v>13</v>
      </c>
      <c r="I130">
        <v>0</v>
      </c>
      <c r="J130">
        <v>1</v>
      </c>
      <c r="L130" s="4"/>
      <c r="M130" s="4"/>
      <c r="N130" s="4"/>
    </row>
    <row r="131" spans="1:14" ht="13" x14ac:dyDescent="0.15">
      <c r="A131" s="1" t="s">
        <v>215</v>
      </c>
      <c r="B131" s="2">
        <f>259068.6/(1604709.3+839648.4+168345+1331344.4+1417587+561455.4+44073.3+259068.6+8210.4+4121010.6)*C$8</f>
        <v>10.831875850204302</v>
      </c>
      <c r="C131" s="2">
        <v>0</v>
      </c>
      <c r="D131" s="2">
        <v>0</v>
      </c>
      <c r="F131" s="1" t="s">
        <v>356</v>
      </c>
      <c r="G131" s="29">
        <f>B148/$B$186*100</f>
        <v>1.0619326142862933E-7</v>
      </c>
      <c r="H131" s="1" t="s">
        <v>13</v>
      </c>
      <c r="I131">
        <v>0</v>
      </c>
      <c r="J131">
        <v>1</v>
      </c>
      <c r="L131" s="4"/>
      <c r="M131" s="4"/>
      <c r="N131" s="4"/>
    </row>
    <row r="132" spans="1:14" ht="13" x14ac:dyDescent="0.15">
      <c r="A132" s="1"/>
      <c r="B132" s="2"/>
      <c r="C132" s="2"/>
      <c r="D132" s="2"/>
      <c r="F132" s="1" t="s">
        <v>13</v>
      </c>
      <c r="G132" s="29">
        <f>C99/C186*100</f>
        <v>1.2523337064387471E-3</v>
      </c>
      <c r="H132" s="1" t="s">
        <v>14</v>
      </c>
      <c r="I132">
        <v>1</v>
      </c>
      <c r="J132">
        <v>2</v>
      </c>
      <c r="L132" s="4"/>
      <c r="M132" s="4"/>
      <c r="N132" s="4"/>
    </row>
    <row r="133" spans="1:14" ht="13" x14ac:dyDescent="0.15">
      <c r="A133" s="1" t="s">
        <v>216</v>
      </c>
      <c r="B133" s="2">
        <f>8210.4/(1604709.3+839648.4+168345+1331344.4+1417587+561455.4+44073.3+259068.6+8210.4+4121010.6)*C$8</f>
        <v>0.34328372284606234</v>
      </c>
      <c r="C133" s="2">
        <v>0</v>
      </c>
      <c r="D133" s="2">
        <v>0</v>
      </c>
      <c r="F133" s="1" t="s">
        <v>9</v>
      </c>
      <c r="G133" s="29">
        <f>B149/$B$186*100</f>
        <v>1.6258244455682719E-2</v>
      </c>
      <c r="H133" s="1" t="s">
        <v>357</v>
      </c>
      <c r="I133">
        <v>0</v>
      </c>
      <c r="J133">
        <v>1</v>
      </c>
      <c r="L133" s="4"/>
      <c r="M133" s="4"/>
      <c r="N133" s="4"/>
    </row>
    <row r="134" spans="1:14" ht="13" x14ac:dyDescent="0.15">
      <c r="A134" s="1" t="s">
        <v>217</v>
      </c>
      <c r="B134" s="2">
        <f>168345/(1604709.3+839648.4+168345+1331344.4+1417587+561455.4+44073.3+259068.6+8210.4+4121010.6)*C$8</f>
        <v>7.0386459030644515</v>
      </c>
      <c r="C134" s="2">
        <v>0</v>
      </c>
      <c r="D134" s="2">
        <v>0</v>
      </c>
      <c r="F134" s="1" t="s">
        <v>345</v>
      </c>
      <c r="G134" s="29">
        <f>B150/$B$186*100</f>
        <v>1.3288326963739169E-3</v>
      </c>
      <c r="H134" s="1" t="s">
        <v>357</v>
      </c>
      <c r="I134">
        <v>0</v>
      </c>
      <c r="J134">
        <v>1</v>
      </c>
      <c r="L134" s="4"/>
      <c r="M134" s="4"/>
      <c r="N134" s="4"/>
    </row>
    <row r="135" spans="1:14" ht="13" x14ac:dyDescent="0.15">
      <c r="A135" s="1" t="s">
        <v>218</v>
      </c>
      <c r="B135" s="2">
        <f>4121010.6/(1604709.3+839648.4+168345+1331344.4+1417587+561455.4+44073.3+259068.6+8210.4+4121010.6)*C$8</f>
        <v>172.30291589399852</v>
      </c>
      <c r="C135" s="2">
        <v>0</v>
      </c>
      <c r="D135" s="2">
        <v>0</v>
      </c>
      <c r="F135" s="1" t="s">
        <v>10</v>
      </c>
      <c r="G135" s="29">
        <f>B151/$B$186*100</f>
        <v>2.11685576301852E-4</v>
      </c>
      <c r="H135" s="1" t="s">
        <v>357</v>
      </c>
      <c r="I135">
        <v>0</v>
      </c>
      <c r="J135">
        <v>1</v>
      </c>
      <c r="L135" s="4"/>
      <c r="M135" s="4"/>
      <c r="N135" s="4"/>
    </row>
    <row r="136" spans="1:14" ht="13" x14ac:dyDescent="0.15">
      <c r="A136" s="1" t="s">
        <v>219</v>
      </c>
      <c r="B136" s="2">
        <f>26.4/(63693+48.6+26.4+18642.6+14.1+155858.7)*C$9</f>
        <v>0.3016801147150025</v>
      </c>
      <c r="C136" s="2">
        <v>0</v>
      </c>
      <c r="D136" s="2">
        <v>0</v>
      </c>
      <c r="F136" s="1" t="s">
        <v>350</v>
      </c>
      <c r="G136" s="29">
        <f>B153/$B$186*100</f>
        <v>1.6778402571540563E-2</v>
      </c>
      <c r="H136" s="1" t="s">
        <v>357</v>
      </c>
      <c r="I136">
        <v>0</v>
      </c>
      <c r="J136">
        <v>1</v>
      </c>
      <c r="L136" s="4"/>
      <c r="M136" s="4"/>
      <c r="N136" s="4"/>
    </row>
    <row r="137" spans="1:14" ht="13" x14ac:dyDescent="0.15">
      <c r="A137" s="1" t="s">
        <v>220</v>
      </c>
      <c r="B137" s="2">
        <f>48.6/(63693+48.6+26.4+18642.6+14.1+155858.7)*C$9</f>
        <v>0.55536566572534551</v>
      </c>
      <c r="C137" s="2">
        <v>0</v>
      </c>
      <c r="D137" s="2">
        <v>0</v>
      </c>
      <c r="F137" s="1" t="s">
        <v>357</v>
      </c>
      <c r="G137" s="29">
        <f>B154/$B$186*100</f>
        <v>6.2957959265217717E-2</v>
      </c>
      <c r="H137" s="1" t="s">
        <v>357</v>
      </c>
      <c r="I137">
        <v>0</v>
      </c>
      <c r="J137">
        <v>1</v>
      </c>
      <c r="L137" s="4"/>
      <c r="M137" s="4"/>
      <c r="N137" s="4"/>
    </row>
    <row r="138" spans="1:14" ht="13" x14ac:dyDescent="0.15">
      <c r="A138" s="1" t="s">
        <v>184</v>
      </c>
      <c r="B138" s="2">
        <f>63693/(63693+48.6+26.4+18642.6+14.1+155858.7)*C$9</f>
        <v>727.83755858116115</v>
      </c>
      <c r="C138" s="2">
        <v>0</v>
      </c>
      <c r="D138" s="2">
        <v>0</v>
      </c>
      <c r="F138" s="1" t="s">
        <v>6</v>
      </c>
      <c r="G138" s="29">
        <f>B155/$B$186*100</f>
        <v>4.883726240172781E-2</v>
      </c>
      <c r="H138" s="1" t="s">
        <v>357</v>
      </c>
      <c r="I138">
        <v>0</v>
      </c>
      <c r="J138">
        <v>1</v>
      </c>
      <c r="L138" s="4"/>
      <c r="M138" s="4"/>
      <c r="N138" s="4"/>
    </row>
    <row r="139" spans="1:14" ht="13" x14ac:dyDescent="0.15">
      <c r="A139" s="1"/>
      <c r="B139" s="2"/>
      <c r="C139" s="2"/>
      <c r="D139" s="2"/>
      <c r="F139" s="1" t="s">
        <v>357</v>
      </c>
      <c r="G139" s="29">
        <f>C100/C186*100</f>
        <v>0.14637238696684451</v>
      </c>
      <c r="H139" s="1" t="s">
        <v>14</v>
      </c>
      <c r="I139">
        <v>1</v>
      </c>
      <c r="J139">
        <v>2</v>
      </c>
      <c r="L139" s="4"/>
      <c r="M139" s="4"/>
      <c r="N139" s="4"/>
    </row>
    <row r="140" spans="1:14" ht="13" x14ac:dyDescent="0.15">
      <c r="A140" s="1" t="s">
        <v>221</v>
      </c>
      <c r="B140" s="2">
        <f>18642.6/(63693+48.6+26.4+18642.6+14.1+155858.7)*C$9</f>
        <v>213.0341555524964</v>
      </c>
      <c r="C140" s="2">
        <v>0</v>
      </c>
      <c r="D140" s="2">
        <v>0</v>
      </c>
      <c r="F140" s="1" t="s">
        <v>345</v>
      </c>
      <c r="G140" s="29">
        <f>B156/$B$186*100</f>
        <v>1.1009237365174311</v>
      </c>
      <c r="H140" s="1" t="s">
        <v>358</v>
      </c>
      <c r="I140">
        <v>0</v>
      </c>
      <c r="J140">
        <v>1</v>
      </c>
      <c r="L140" s="4"/>
      <c r="M140" s="4"/>
      <c r="N140" s="4"/>
    </row>
    <row r="141" spans="1:14" ht="13" x14ac:dyDescent="0.15">
      <c r="A141" s="1"/>
      <c r="B141" s="2"/>
      <c r="C141" s="2"/>
      <c r="D141" s="2"/>
      <c r="F141" s="1" t="s">
        <v>358</v>
      </c>
      <c r="G141" s="29">
        <f>C101/C186*100</f>
        <v>1.1009237365174307</v>
      </c>
      <c r="H141" s="1" t="s">
        <v>14</v>
      </c>
      <c r="I141">
        <v>1</v>
      </c>
      <c r="J141">
        <v>2</v>
      </c>
      <c r="L141" s="4"/>
      <c r="M141" s="4"/>
      <c r="N141" s="4"/>
    </row>
    <row r="142" spans="1:14" ht="13" x14ac:dyDescent="0.15">
      <c r="A142" s="1" t="s">
        <v>222</v>
      </c>
      <c r="B142" s="2">
        <f>14.1/(63693+48.6+26.4+18642.6+14.1+155858.7)*C$9</f>
        <v>0.16112460672278542</v>
      </c>
      <c r="C142" s="2">
        <v>0</v>
      </c>
      <c r="D142" s="2">
        <v>0</v>
      </c>
      <c r="F142" s="1" t="s">
        <v>10</v>
      </c>
      <c r="G142" s="29">
        <f>B157/$B$186*100</f>
        <v>2.8857889573040167</v>
      </c>
      <c r="H142" s="1" t="s">
        <v>10</v>
      </c>
      <c r="I142">
        <v>0</v>
      </c>
      <c r="J142">
        <v>1</v>
      </c>
      <c r="L142" s="4"/>
      <c r="M142" s="4"/>
      <c r="N142" s="4"/>
    </row>
    <row r="143" spans="1:14" ht="13" x14ac:dyDescent="0.15">
      <c r="A143" s="1" t="s">
        <v>186</v>
      </c>
      <c r="B143" s="2">
        <f>155858.7/(63693+48.6+26.4+18642.6+14.1+155858.7)*C$9</f>
        <v>1781.0405490655744</v>
      </c>
      <c r="C143" s="2">
        <v>0</v>
      </c>
      <c r="D143" s="2">
        <v>0</v>
      </c>
      <c r="F143" s="1" t="s">
        <v>9</v>
      </c>
      <c r="G143" s="29">
        <f>B158/$B$186*100</f>
        <v>3.2667147608034353</v>
      </c>
      <c r="H143" s="1" t="s">
        <v>10</v>
      </c>
      <c r="I143">
        <v>0</v>
      </c>
      <c r="J143">
        <v>1</v>
      </c>
      <c r="L143" s="4"/>
      <c r="M143" s="4"/>
      <c r="N143" s="4"/>
    </row>
    <row r="144" spans="1:14" ht="13" x14ac:dyDescent="0.15">
      <c r="A144" s="1" t="s">
        <v>223</v>
      </c>
      <c r="B144" s="1">
        <f>165.9/(165.9+64979.1+21162+23358.3+9.3)*C$10</f>
        <v>4.0157002966768348E-4</v>
      </c>
      <c r="C144" s="2">
        <v>0</v>
      </c>
      <c r="D144" s="2">
        <v>0</v>
      </c>
      <c r="F144" s="1" t="s">
        <v>345</v>
      </c>
      <c r="G144" s="29">
        <f>B160/$B$186*100</f>
        <v>1.7092764540998089</v>
      </c>
      <c r="H144" s="1" t="s">
        <v>10</v>
      </c>
      <c r="I144">
        <v>0</v>
      </c>
      <c r="J144">
        <v>1</v>
      </c>
      <c r="L144" s="4"/>
      <c r="M144" s="4"/>
      <c r="N144" s="4"/>
    </row>
    <row r="145" spans="1:14" ht="13" x14ac:dyDescent="0.15">
      <c r="A145" s="1" t="s">
        <v>224</v>
      </c>
      <c r="B145" s="1">
        <f>64979.1/(165.9+64979.1+21162+23358.3+9.3)*C$10</f>
        <v>0.15728546784074363</v>
      </c>
      <c r="C145" s="2">
        <v>0</v>
      </c>
      <c r="D145" s="2">
        <v>0</v>
      </c>
      <c r="F145" s="1" t="s">
        <v>355</v>
      </c>
      <c r="G145" s="29">
        <f>B161/$B$186*100</f>
        <v>2.7102244644515938</v>
      </c>
      <c r="H145" s="1" t="s">
        <v>10</v>
      </c>
      <c r="I145">
        <v>0</v>
      </c>
      <c r="J145">
        <v>1</v>
      </c>
      <c r="L145" s="4"/>
      <c r="M145" s="4"/>
      <c r="N145" s="4"/>
    </row>
    <row r="146" spans="1:14" ht="13" x14ac:dyDescent="0.15">
      <c r="A146" s="1" t="s">
        <v>225</v>
      </c>
      <c r="B146" s="1">
        <f>21162/(165.9+64979.1+21162+23358.3+9.3)*C$10</f>
        <v>5.122377919124483E-2</v>
      </c>
      <c r="C146" s="2">
        <v>0</v>
      </c>
      <c r="D146" s="2">
        <v>0</v>
      </c>
      <c r="F146" s="1" t="s">
        <v>350</v>
      </c>
      <c r="G146" s="29">
        <f>B162/$B$186*100</f>
        <v>1.1429575703915948</v>
      </c>
      <c r="H146" s="1" t="s">
        <v>10</v>
      </c>
      <c r="I146">
        <v>0</v>
      </c>
      <c r="J146">
        <v>1</v>
      </c>
      <c r="L146" s="4"/>
      <c r="M146" s="4"/>
      <c r="N146" s="4"/>
    </row>
    <row r="147" spans="1:14" ht="13" x14ac:dyDescent="0.15">
      <c r="A147" s="1" t="s">
        <v>226</v>
      </c>
      <c r="B147" s="1">
        <f>23358.3/(165.9+64979.1+21162+23358.3+9.3)*C$10</f>
        <v>5.6540043544223324E-2</v>
      </c>
      <c r="C147" s="2">
        <v>0</v>
      </c>
      <c r="D147" s="2">
        <v>0</v>
      </c>
      <c r="F147" s="1" t="s">
        <v>351</v>
      </c>
      <c r="G147" s="29">
        <f>B163/$B$186*100</f>
        <v>8.9720237595256686E-2</v>
      </c>
      <c r="H147" s="1" t="s">
        <v>10</v>
      </c>
      <c r="I147">
        <v>0</v>
      </c>
      <c r="J147">
        <v>1</v>
      </c>
      <c r="L147" s="4"/>
      <c r="M147" s="4"/>
      <c r="N147" s="4"/>
    </row>
    <row r="148" spans="1:14" ht="13" x14ac:dyDescent="0.15">
      <c r="A148" s="1" t="s">
        <v>227</v>
      </c>
      <c r="B148" s="1">
        <f>9.3/(165.9+64979.1+21162+23358.3+9.3)*C$10</f>
        <v>2.2511158986796E-5</v>
      </c>
      <c r="C148" s="2">
        <v>0</v>
      </c>
      <c r="D148" s="2">
        <v>0</v>
      </c>
      <c r="F148" s="1" t="s">
        <v>352</v>
      </c>
      <c r="G148" s="29">
        <f>B164/$B$186*100</f>
        <v>0.52738724682450633</v>
      </c>
      <c r="H148" s="1" t="s">
        <v>10</v>
      </c>
      <c r="I148">
        <v>0</v>
      </c>
      <c r="J148">
        <v>1</v>
      </c>
      <c r="L148" s="4"/>
      <c r="M148" s="4"/>
      <c r="N148" s="4"/>
    </row>
    <row r="149" spans="1:14" ht="13" x14ac:dyDescent="0.15">
      <c r="A149" s="1" t="s">
        <v>228</v>
      </c>
      <c r="B149" s="1">
        <f>161310.9/(161310.9+13184.4+2100.3+166471.8+624655.7+484553.1)*C$11</f>
        <v>3.4464703396838905</v>
      </c>
      <c r="C149" s="2">
        <v>0</v>
      </c>
      <c r="D149" s="2">
        <v>0</v>
      </c>
      <c r="F149" s="1" t="s">
        <v>353</v>
      </c>
      <c r="G149" s="29">
        <f>B166/$B$186*100</f>
        <v>1.6713952410010037E-2</v>
      </c>
      <c r="H149" s="1" t="s">
        <v>10</v>
      </c>
      <c r="I149">
        <v>0</v>
      </c>
      <c r="J149">
        <v>1</v>
      </c>
      <c r="L149" s="4"/>
      <c r="M149" s="4"/>
      <c r="N149" s="4"/>
    </row>
    <row r="150" spans="1:14" ht="13" x14ac:dyDescent="0.15">
      <c r="A150" s="1" t="s">
        <v>229</v>
      </c>
      <c r="B150" s="1">
        <f>13184.4/(161310.9+13184.4+2100.3+166471.8+624655.7+484553.1)*C$11</f>
        <v>0.28168985199715757</v>
      </c>
      <c r="C150" s="2">
        <v>0</v>
      </c>
      <c r="D150" s="2">
        <v>0</v>
      </c>
      <c r="F150" s="1" t="s">
        <v>354</v>
      </c>
      <c r="G150" s="29">
        <f>B167/$B$186*100</f>
        <v>0.34270075982450793</v>
      </c>
      <c r="H150" s="1" t="s">
        <v>10</v>
      </c>
      <c r="I150">
        <v>0</v>
      </c>
      <c r="J150">
        <v>1</v>
      </c>
      <c r="L150" s="4"/>
      <c r="M150" s="4"/>
      <c r="N150" s="4"/>
    </row>
    <row r="151" spans="1:14" ht="13" x14ac:dyDescent="0.15">
      <c r="A151" s="1" t="s">
        <v>187</v>
      </c>
      <c r="B151" s="1">
        <f>2100.3/(161310.9+13184.4+2100.3+166471.8+624655.7+484553.1)*C$11</f>
        <v>4.4873729267136168E-2</v>
      </c>
      <c r="C151" s="2">
        <v>0</v>
      </c>
      <c r="D151" s="2">
        <v>0</v>
      </c>
      <c r="F151" s="1" t="s">
        <v>6</v>
      </c>
      <c r="G151" s="29">
        <f>B168/$B$186*100</f>
        <v>8.3891619226282419</v>
      </c>
      <c r="H151" s="1" t="s">
        <v>10</v>
      </c>
      <c r="I151">
        <v>0</v>
      </c>
      <c r="J151">
        <v>1</v>
      </c>
      <c r="L151" s="4"/>
      <c r="M151" s="4"/>
      <c r="N151" s="4"/>
    </row>
    <row r="152" spans="1:14" ht="13" x14ac:dyDescent="0.15">
      <c r="A152" s="1"/>
      <c r="B152" s="1"/>
      <c r="C152" s="2"/>
      <c r="D152" s="2"/>
      <c r="F152" s="1" t="s">
        <v>10</v>
      </c>
      <c r="G152" s="29">
        <f>C103/C186*100</f>
        <v>21.080646326332968</v>
      </c>
      <c r="H152" s="1" t="s">
        <v>15</v>
      </c>
      <c r="I152">
        <v>1</v>
      </c>
      <c r="J152">
        <v>2</v>
      </c>
      <c r="L152" s="4"/>
      <c r="M152" s="4"/>
      <c r="N152" s="4"/>
    </row>
    <row r="153" spans="1:14" ht="13" x14ac:dyDescent="0.15">
      <c r="A153" s="1" t="s">
        <v>230</v>
      </c>
      <c r="B153" s="1">
        <f>166471.8/(161310.9+13184.4+2100.3+166471.8+624655.7+484553.1)*C$11</f>
        <v>3.5567349825324182</v>
      </c>
      <c r="C153" s="2">
        <v>0</v>
      </c>
      <c r="D153" s="2">
        <v>0</v>
      </c>
      <c r="F153" s="1" t="s">
        <v>9</v>
      </c>
      <c r="G153" s="29">
        <f t="shared" ref="G153:G158" si="12">B169/$B$186*100</f>
        <v>1.2371690192074849</v>
      </c>
      <c r="H153" s="1" t="s">
        <v>14</v>
      </c>
      <c r="I153">
        <v>0</v>
      </c>
      <c r="J153">
        <v>1</v>
      </c>
      <c r="L153" s="4"/>
      <c r="M153" s="4"/>
      <c r="N153" s="4"/>
    </row>
    <row r="154" spans="1:14" ht="13" x14ac:dyDescent="0.15">
      <c r="A154" s="1" t="s">
        <v>185</v>
      </c>
      <c r="B154" s="1">
        <f>624655.7/(161310.9+13184.4+2100.3+166471.8+624655.7+484553.1)*C$11</f>
        <v>13.346012839581691</v>
      </c>
      <c r="C154" s="2">
        <v>0</v>
      </c>
      <c r="D154" s="2">
        <v>0</v>
      </c>
      <c r="F154" s="1" t="s">
        <v>345</v>
      </c>
      <c r="G154" s="29">
        <f t="shared" si="12"/>
        <v>9.4400349070516022E-4</v>
      </c>
      <c r="H154" s="1" t="s">
        <v>14</v>
      </c>
      <c r="I154">
        <v>0</v>
      </c>
      <c r="J154">
        <v>1</v>
      </c>
      <c r="L154" s="4"/>
      <c r="M154" s="4"/>
      <c r="N154" s="4"/>
    </row>
    <row r="155" spans="1:14" ht="13" x14ac:dyDescent="0.15">
      <c r="A155" s="1" t="s">
        <v>231</v>
      </c>
      <c r="B155" s="1">
        <f>484553.1/(161310.9+13184.4+2100.3+166471.8+624655.7+484553.1)*C$11</f>
        <v>10.352666107199713</v>
      </c>
      <c r="C155" s="2">
        <v>0</v>
      </c>
      <c r="D155" s="2">
        <v>0</v>
      </c>
      <c r="F155" s="1" t="s">
        <v>10</v>
      </c>
      <c r="G155" s="29">
        <f t="shared" si="12"/>
        <v>5.1279201964230924E-4</v>
      </c>
      <c r="H155" s="1" t="s">
        <v>14</v>
      </c>
      <c r="I155">
        <v>0</v>
      </c>
      <c r="J155">
        <v>1</v>
      </c>
      <c r="L155" s="4"/>
      <c r="M155" s="4"/>
      <c r="N155" s="4"/>
    </row>
    <row r="156" spans="1:14" ht="13" x14ac:dyDescent="0.15">
      <c r="A156" s="1" t="s">
        <v>232</v>
      </c>
      <c r="B156" s="12">
        <f>C101</f>
        <v>233.37704230637718</v>
      </c>
      <c r="C156" s="2">
        <v>0</v>
      </c>
      <c r="D156" s="2">
        <v>0</v>
      </c>
      <c r="F156" s="1" t="s">
        <v>350</v>
      </c>
      <c r="G156" s="29">
        <f t="shared" si="12"/>
        <v>0.36211274641604974</v>
      </c>
      <c r="H156" s="1" t="s">
        <v>14</v>
      </c>
      <c r="I156">
        <v>0</v>
      </c>
      <c r="J156">
        <v>1</v>
      </c>
      <c r="L156" s="4"/>
      <c r="M156" s="4"/>
      <c r="N156" s="4"/>
    </row>
    <row r="157" spans="1:14" ht="13" x14ac:dyDescent="0.15">
      <c r="A157" s="1" t="s">
        <v>85</v>
      </c>
      <c r="B157" s="2">
        <f>1417587/(1604709.3+839648.4+168345+1331344.4+1417587+561455.4+44073.3+259068.6+8210.4+4121010.6)*C$13</f>
        <v>611.73800621870089</v>
      </c>
      <c r="C157" s="2">
        <v>0</v>
      </c>
      <c r="D157" s="2">
        <v>0</v>
      </c>
      <c r="F157" s="1" t="s">
        <v>357</v>
      </c>
      <c r="G157" s="29">
        <f t="shared" si="12"/>
        <v>2.7387755594532423E-4</v>
      </c>
      <c r="H157" s="1" t="s">
        <v>14</v>
      </c>
      <c r="I157">
        <v>0</v>
      </c>
      <c r="J157">
        <v>1</v>
      </c>
      <c r="L157" s="4"/>
      <c r="M157" s="4"/>
      <c r="N157" s="4"/>
    </row>
    <row r="158" spans="1:14" ht="13" x14ac:dyDescent="0.15">
      <c r="A158" s="1" t="s">
        <v>98</v>
      </c>
      <c r="B158" s="2">
        <f>1604709.3/(1604709.3+839648.4+168345+1331344.4+1417587+561455.4+44073.3+259068.6+8210.4+4121010.6)*C$13</f>
        <v>692.48777517189933</v>
      </c>
      <c r="C158" s="2">
        <v>0</v>
      </c>
      <c r="D158" s="2">
        <v>0</v>
      </c>
      <c r="F158" s="1" t="s">
        <v>6</v>
      </c>
      <c r="G158" s="29">
        <f t="shared" si="12"/>
        <v>3.0273900587812421</v>
      </c>
      <c r="H158" s="1" t="s">
        <v>14</v>
      </c>
      <c r="I158">
        <v>0</v>
      </c>
      <c r="J158">
        <v>1</v>
      </c>
      <c r="L158" s="4"/>
      <c r="M158" s="4"/>
      <c r="N158" s="4"/>
    </row>
    <row r="159" spans="1:14" ht="13" x14ac:dyDescent="0.15">
      <c r="A159" s="1"/>
      <c r="B159" s="2"/>
      <c r="C159" s="2"/>
      <c r="D159" s="2"/>
      <c r="F159" s="1" t="s">
        <v>14</v>
      </c>
      <c r="G159" s="29">
        <f>C104/C186*100</f>
        <v>4.6284024974710691</v>
      </c>
      <c r="H159" s="1" t="s">
        <v>15</v>
      </c>
      <c r="I159">
        <v>1</v>
      </c>
      <c r="J159">
        <v>2</v>
      </c>
      <c r="L159" s="4"/>
      <c r="M159" s="4"/>
      <c r="N159" s="4"/>
    </row>
    <row r="160" spans="1:14" ht="13" x14ac:dyDescent="0.15">
      <c r="A160" s="1" t="s">
        <v>173</v>
      </c>
      <c r="B160" s="2">
        <f>839648.4/(1604709.3+839648.4+168345+1331344.4+1417587+561455.4+44073.3+259068.6+8210.4+4121010.6)*C$13</f>
        <v>362.33743547360569</v>
      </c>
      <c r="C160" s="2">
        <v>0</v>
      </c>
      <c r="D160" s="2">
        <v>0</v>
      </c>
      <c r="F160" s="1" t="s">
        <v>345</v>
      </c>
      <c r="G160" s="29">
        <f>B175/$B$186*100</f>
        <v>1.8930319774716224E-3</v>
      </c>
      <c r="H160" s="1" t="s">
        <v>13</v>
      </c>
      <c r="I160">
        <v>0</v>
      </c>
      <c r="J160">
        <v>1</v>
      </c>
      <c r="L160" s="4"/>
      <c r="M160" s="4"/>
      <c r="N160" s="4"/>
    </row>
    <row r="161" spans="1:14" ht="13" x14ac:dyDescent="0.15">
      <c r="A161" s="1" t="s">
        <v>233</v>
      </c>
      <c r="B161" s="2">
        <f>1331344.4/(1604709.3+839648.4+168345+1331344.4+1417587+561455.4+44073.3+259068.6+8210.4+4121010.6)*C$13</f>
        <v>574.52133015217589</v>
      </c>
      <c r="C161" s="2">
        <v>0</v>
      </c>
      <c r="D161" s="2">
        <v>0</v>
      </c>
      <c r="F161" s="1" t="s">
        <v>350</v>
      </c>
      <c r="G161" s="29">
        <f>B176/$B$186*100</f>
        <v>0.74145578159931458</v>
      </c>
      <c r="H161" s="1" t="s">
        <v>13</v>
      </c>
      <c r="I161">
        <v>0</v>
      </c>
      <c r="J161">
        <v>1</v>
      </c>
      <c r="L161" s="4"/>
      <c r="M161" s="4"/>
      <c r="N161" s="4"/>
    </row>
    <row r="162" spans="1:14" ht="13" x14ac:dyDescent="0.15">
      <c r="A162" s="1" t="s">
        <v>234</v>
      </c>
      <c r="B162" s="2">
        <f>561455.4/(1604709.3+839648.4+168345+1331344.4+1417587+561455.4+44073.3+259068.6+8210.4+4121010.6)*C$13</f>
        <v>242.28749768213396</v>
      </c>
      <c r="C162" s="2">
        <v>0</v>
      </c>
      <c r="D162" s="2">
        <v>0</v>
      </c>
      <c r="F162" s="1" t="s">
        <v>354</v>
      </c>
      <c r="G162" s="29">
        <f>B177/$B$186*100</f>
        <v>0.24147283126735664</v>
      </c>
      <c r="H162" s="1" t="s">
        <v>13</v>
      </c>
      <c r="I162">
        <v>0</v>
      </c>
      <c r="J162">
        <v>1</v>
      </c>
      <c r="L162" s="4"/>
      <c r="M162" s="4"/>
      <c r="N162" s="4"/>
    </row>
    <row r="163" spans="1:14" ht="13" x14ac:dyDescent="0.15">
      <c r="A163" s="1" t="s">
        <v>235</v>
      </c>
      <c r="B163" s="2">
        <f>44073.3/(1604709.3+839648.4+168345+1331344.4+1417587+561455.4+44073.3+259068.6+8210.4+4121010.6)*C$13</f>
        <v>19.01915908475365</v>
      </c>
      <c r="C163" s="2">
        <v>0</v>
      </c>
      <c r="D163" s="2">
        <v>0</v>
      </c>
      <c r="F163" s="1" t="s">
        <v>6</v>
      </c>
      <c r="G163" s="29">
        <f>B178/$B$186*100</f>
        <v>0.26653410994198545</v>
      </c>
      <c r="H163" s="1" t="s">
        <v>13</v>
      </c>
      <c r="I163">
        <v>0</v>
      </c>
      <c r="J163">
        <v>1</v>
      </c>
      <c r="L163" s="4"/>
      <c r="M163" s="4"/>
      <c r="N163" s="4"/>
    </row>
    <row r="164" spans="1:14" ht="13" x14ac:dyDescent="0.15">
      <c r="A164" s="1" t="s">
        <v>236</v>
      </c>
      <c r="B164" s="2">
        <f>259068.6/(1604709.3+839648.4+168345+1331344.4+1417587+561455.4+44073.3+259068.6+8210.4+4121010.6)*C$13</f>
        <v>111.79709523145327</v>
      </c>
      <c r="C164" s="2">
        <v>0</v>
      </c>
      <c r="D164" s="2">
        <v>0</v>
      </c>
      <c r="F164" s="1" t="s">
        <v>356</v>
      </c>
      <c r="G164" s="29">
        <f>B179/$B$186*100</f>
        <v>1.0611933327598606E-4</v>
      </c>
      <c r="H164" s="1" t="s">
        <v>13</v>
      </c>
      <c r="I164">
        <v>0</v>
      </c>
      <c r="J164">
        <v>1</v>
      </c>
      <c r="L164" s="4"/>
      <c r="M164" s="4"/>
      <c r="N164" s="4"/>
    </row>
    <row r="165" spans="1:14" ht="13" x14ac:dyDescent="0.15">
      <c r="A165" s="1"/>
      <c r="B165" s="2"/>
      <c r="C165" s="2"/>
      <c r="D165" s="2"/>
      <c r="F165" s="1" t="s">
        <v>13</v>
      </c>
      <c r="G165" s="29">
        <f>C105/C186*100</f>
        <v>1.2514618741194041</v>
      </c>
      <c r="H165" s="1" t="s">
        <v>15</v>
      </c>
      <c r="I165">
        <v>1</v>
      </c>
      <c r="J165">
        <v>2</v>
      </c>
      <c r="L165" s="4"/>
      <c r="M165" s="4"/>
      <c r="N165" s="4"/>
    </row>
    <row r="166" spans="1:14" ht="13" x14ac:dyDescent="0.15">
      <c r="A166" s="1" t="s">
        <v>237</v>
      </c>
      <c r="B166" s="2">
        <f>8210.4/(1604709.3+839648.4+168345+1331344.4+1417587+561455.4+44073.3+259068.6+8210.4+4121010.6)*C$13</f>
        <v>3.5430726482805088</v>
      </c>
      <c r="C166" s="2">
        <v>0</v>
      </c>
      <c r="D166" s="2">
        <v>0</v>
      </c>
      <c r="F166" s="1" t="s">
        <v>9</v>
      </c>
      <c r="G166" s="29">
        <f t="shared" ref="G166:G171" si="13">B180/$B$186*100</f>
        <v>2.3274988476439943E-2</v>
      </c>
      <c r="H166" s="1" t="s">
        <v>357</v>
      </c>
      <c r="I166">
        <v>0</v>
      </c>
      <c r="J166">
        <v>1</v>
      </c>
      <c r="L166" s="4"/>
      <c r="M166" s="4"/>
      <c r="N166" s="4"/>
    </row>
    <row r="167" spans="1:14" ht="13" x14ac:dyDescent="0.15">
      <c r="A167" s="1" t="s">
        <v>238</v>
      </c>
      <c r="B167" s="2">
        <f>168345/(1604709.3+839648.4+168345+1331344.4+1417587+561455.4+44073.3+259068.6+8210.4+4121010.6)*C$13</f>
        <v>72.646712093781332</v>
      </c>
      <c r="C167" s="2">
        <v>0</v>
      </c>
      <c r="D167" s="2">
        <v>0</v>
      </c>
      <c r="F167" s="1" t="s">
        <v>345</v>
      </c>
      <c r="G167" s="29">
        <f t="shared" si="13"/>
        <v>1.9023312006118298E-3</v>
      </c>
      <c r="H167" s="1" t="s">
        <v>357</v>
      </c>
      <c r="I167">
        <v>0</v>
      </c>
      <c r="J167">
        <v>1</v>
      </c>
      <c r="L167" s="4"/>
      <c r="M167" s="4"/>
      <c r="N167" s="4"/>
    </row>
    <row r="168" spans="1:14" ht="13" x14ac:dyDescent="0.15">
      <c r="A168" s="1" t="s">
        <v>239</v>
      </c>
      <c r="B168" s="2">
        <f>4121010.6/(1604709.3+839648.4+168345+1331344.4+1417587+561455.4+44073.3+259068.6+8210.4+4121010.6)*C$13</f>
        <v>1778.3591469519208</v>
      </c>
      <c r="C168" s="2">
        <v>0</v>
      </c>
      <c r="D168" s="2">
        <v>0</v>
      </c>
      <c r="F168" s="1" t="s">
        <v>10</v>
      </c>
      <c r="G168" s="29">
        <f t="shared" si="13"/>
        <v>3.0304497896339817E-4</v>
      </c>
      <c r="H168" s="1" t="s">
        <v>357</v>
      </c>
      <c r="I168">
        <v>0</v>
      </c>
      <c r="J168">
        <v>1</v>
      </c>
      <c r="L168" s="4"/>
      <c r="M168" s="4"/>
      <c r="N168" s="4"/>
    </row>
    <row r="169" spans="1:14" ht="13" x14ac:dyDescent="0.15">
      <c r="A169" s="1" t="s">
        <v>190</v>
      </c>
      <c r="B169" s="2">
        <f>63693/(63693+48.6+26.4+18642.6+14.1+155858.7)*C$14</f>
        <v>262.25871689265091</v>
      </c>
      <c r="C169" s="2">
        <v>0</v>
      </c>
      <c r="D169" s="2">
        <v>0</v>
      </c>
      <c r="F169" s="1" t="s">
        <v>350</v>
      </c>
      <c r="G169" s="29">
        <f t="shared" si="13"/>
        <v>2.4019636779983342E-2</v>
      </c>
      <c r="H169" s="1" t="s">
        <v>357</v>
      </c>
      <c r="I169">
        <v>0</v>
      </c>
      <c r="J169">
        <v>1</v>
      </c>
      <c r="L169" s="4"/>
      <c r="M169" s="4"/>
      <c r="N169" s="4"/>
    </row>
    <row r="170" spans="1:14" ht="13" x14ac:dyDescent="0.15">
      <c r="A170" s="1" t="s">
        <v>240</v>
      </c>
      <c r="B170" s="2">
        <f>48.6/(63693+48.6+26.4+18642.6+14.1+155858.7)*C$14</f>
        <v>0.20011262840473579</v>
      </c>
      <c r="C170" s="2">
        <v>0</v>
      </c>
      <c r="D170" s="2">
        <v>0</v>
      </c>
      <c r="F170" s="1" t="s">
        <v>357</v>
      </c>
      <c r="G170" s="29">
        <f t="shared" si="13"/>
        <v>9.0129397450776888E-2</v>
      </c>
      <c r="H170" s="1" t="s">
        <v>357</v>
      </c>
      <c r="I170">
        <v>0</v>
      </c>
      <c r="J170">
        <v>1</v>
      </c>
      <c r="L170" s="4"/>
      <c r="M170" s="4"/>
      <c r="N170" s="4"/>
    </row>
    <row r="171" spans="1:14" ht="13" x14ac:dyDescent="0.15">
      <c r="A171" s="1" t="s">
        <v>191</v>
      </c>
      <c r="B171" s="2">
        <f>26.4/(63693+48.6+26.4+18642.6+14.1+155858.7)*C$14</f>
        <v>0.10870315617047376</v>
      </c>
      <c r="C171" s="2">
        <v>0</v>
      </c>
      <c r="D171" s="2">
        <v>0</v>
      </c>
      <c r="F171" s="1" t="s">
        <v>6</v>
      </c>
      <c r="G171" s="29">
        <f t="shared" si="13"/>
        <v>6.9914480786625405E-2</v>
      </c>
      <c r="H171" s="1" t="s">
        <v>357</v>
      </c>
      <c r="I171">
        <v>0</v>
      </c>
      <c r="J171">
        <v>1</v>
      </c>
      <c r="L171" s="4"/>
      <c r="M171" s="4"/>
      <c r="N171" s="4"/>
    </row>
    <row r="172" spans="1:14" ht="13" x14ac:dyDescent="0.15">
      <c r="A172" s="1" t="s">
        <v>241</v>
      </c>
      <c r="B172" s="2">
        <f>18642.6/(63693+48.6+26.4+18642.6+14.1+155858.7)*C$14</f>
        <v>76.76172194029067</v>
      </c>
      <c r="C172" s="2">
        <v>0</v>
      </c>
      <c r="D172" s="2">
        <v>0</v>
      </c>
      <c r="F172" s="1" t="s">
        <v>357</v>
      </c>
      <c r="G172" s="29">
        <f>C106/C186*100</f>
        <v>0.20954387967340077</v>
      </c>
      <c r="H172" s="1" t="s">
        <v>15</v>
      </c>
      <c r="I172">
        <v>1</v>
      </c>
      <c r="J172">
        <v>2</v>
      </c>
      <c r="L172" s="4"/>
      <c r="M172" s="4"/>
      <c r="N172" s="4"/>
    </row>
    <row r="173" spans="1:14" ht="13" x14ac:dyDescent="0.15">
      <c r="A173" s="1" t="s">
        <v>242</v>
      </c>
      <c r="B173" s="2">
        <f>14.1/(63693+48.6+26.4+18642.6+14.1+155858.7)*C$14</f>
        <v>5.8057367500139394E-2</v>
      </c>
      <c r="C173" s="2">
        <v>0</v>
      </c>
      <c r="D173" s="2">
        <v>0</v>
      </c>
      <c r="G173" s="29"/>
      <c r="L173" s="4"/>
      <c r="M173" s="4"/>
      <c r="N173" s="4"/>
    </row>
    <row r="174" spans="1:14" ht="13" x14ac:dyDescent="0.15">
      <c r="A174" s="1" t="s">
        <v>195</v>
      </c>
      <c r="B174" s="2">
        <f>155858.7/(63693+48.6+26.4+18642.6+14.1+155858.7)*C$14</f>
        <v>641.75502297829621</v>
      </c>
      <c r="C174" s="2">
        <v>0</v>
      </c>
      <c r="D174" s="2">
        <v>0</v>
      </c>
      <c r="L174" s="4"/>
      <c r="M174" s="4"/>
      <c r="N174" s="4"/>
    </row>
    <row r="175" spans="1:14" ht="13" x14ac:dyDescent="0.15">
      <c r="A175" s="1" t="s">
        <v>243</v>
      </c>
      <c r="B175" s="1">
        <f>165.9/(165.9+64979.1+21162+23358.3+9.3)*C$15</f>
        <v>0.40129047021117142</v>
      </c>
      <c r="C175" s="2">
        <v>0</v>
      </c>
      <c r="D175" s="2">
        <v>0</v>
      </c>
      <c r="L175" s="4"/>
      <c r="M175" s="4"/>
      <c r="N175" s="4"/>
    </row>
    <row r="176" spans="1:14" ht="13" x14ac:dyDescent="0.15">
      <c r="A176" s="1" t="s">
        <v>244</v>
      </c>
      <c r="B176" s="1">
        <f>64979.1/(165.9+64979.1+21162+23358.3+9.3)*C$15</f>
        <v>157.17597102410323</v>
      </c>
      <c r="C176" s="2">
        <v>0</v>
      </c>
      <c r="D176" s="2">
        <v>0</v>
      </c>
      <c r="L176" s="4"/>
      <c r="M176" s="4"/>
      <c r="N176" s="4"/>
    </row>
    <row r="177" spans="1:14" ht="13" x14ac:dyDescent="0.15">
      <c r="A177" s="1" t="s">
        <v>245</v>
      </c>
      <c r="B177" s="1">
        <f>21162/(165.9+64979.1+21162+23358.3+9.3)*C$15</f>
        <v>51.188118930734227</v>
      </c>
      <c r="C177" s="2">
        <v>0</v>
      </c>
      <c r="D177" s="2">
        <v>0</v>
      </c>
      <c r="L177" s="4"/>
      <c r="M177" s="4"/>
      <c r="N177" s="4"/>
    </row>
    <row r="178" spans="1:14" ht="13" x14ac:dyDescent="0.15">
      <c r="A178" s="1" t="s">
        <v>200</v>
      </c>
      <c r="B178" s="1">
        <f>23358.3/(165.9+64979.1+21162+23358.3+9.3)*C$15</f>
        <v>56.50068228049188</v>
      </c>
      <c r="C178" s="2">
        <v>0</v>
      </c>
      <c r="D178" s="2">
        <v>0</v>
      </c>
      <c r="L178" s="4"/>
      <c r="M178" s="4"/>
      <c r="N178" s="4"/>
    </row>
    <row r="179" spans="1:14" ht="13" x14ac:dyDescent="0.15">
      <c r="A179" s="1" t="s">
        <v>246</v>
      </c>
      <c r="B179" s="1">
        <f>9.3/(165.9+64979.1+21162+23358.3+9.3)*C$15</f>
        <v>2.2495487480192249E-2</v>
      </c>
      <c r="C179" s="2">
        <v>0</v>
      </c>
      <c r="D179" s="2">
        <v>0</v>
      </c>
      <c r="L179" s="4"/>
      <c r="M179" s="4"/>
      <c r="N179" s="4"/>
    </row>
    <row r="180" spans="1:14" ht="13" x14ac:dyDescent="0.15">
      <c r="A180" s="1" t="s">
        <v>247</v>
      </c>
      <c r="B180" s="1">
        <f>161310.9/(161310.9+13184.4+2100.3+166471.8+624655.7+484553.1)*C$16</f>
        <v>4.933900314956615</v>
      </c>
      <c r="C180" s="2">
        <v>0</v>
      </c>
      <c r="D180" s="2">
        <v>0</v>
      </c>
      <c r="L180" s="4"/>
      <c r="M180" s="4"/>
      <c r="N180" s="4"/>
    </row>
    <row r="181" spans="1:14" ht="13" x14ac:dyDescent="0.15">
      <c r="A181" s="1" t="s">
        <v>248</v>
      </c>
      <c r="B181" s="1">
        <f>13184.4/(161310.9+13184.4+2100.3+166471.8+624655.7+484553.1)*C$16</f>
        <v>0.40326174680392957</v>
      </c>
      <c r="C181" s="2">
        <v>0</v>
      </c>
      <c r="D181" s="2">
        <v>0</v>
      </c>
      <c r="L181" s="4"/>
      <c r="M181" s="4"/>
      <c r="N181" s="4"/>
    </row>
    <row r="182" spans="1:14" ht="13" x14ac:dyDescent="0.15">
      <c r="A182" s="1" t="s">
        <v>198</v>
      </c>
      <c r="B182" s="1">
        <f>2100.3/(161310.9+13184.4+2100.3+166471.8+624655.7+484553.1)*C$16</f>
        <v>6.4240363369762243E-2</v>
      </c>
      <c r="C182" s="2">
        <v>0</v>
      </c>
      <c r="D182" s="2">
        <v>0</v>
      </c>
      <c r="L182" s="4"/>
      <c r="M182" s="4"/>
      <c r="N182" s="4"/>
    </row>
    <row r="183" spans="1:14" ht="13" x14ac:dyDescent="0.15">
      <c r="A183" s="1" t="s">
        <v>249</v>
      </c>
      <c r="B183" s="1">
        <f>166471.8/(161310.9+13184.4+2100.3+166471.8+624655.7+484553.1)*C$16</f>
        <v>5.0917530461450191</v>
      </c>
      <c r="C183" s="2">
        <v>0</v>
      </c>
      <c r="D183" s="2">
        <v>0</v>
      </c>
      <c r="L183" s="4"/>
      <c r="M183" s="4"/>
      <c r="N183" s="4"/>
    </row>
    <row r="184" spans="1:14" ht="13" x14ac:dyDescent="0.15">
      <c r="A184" s="1" t="s">
        <v>194</v>
      </c>
      <c r="B184" s="1">
        <f>624655.7/(161310.9+13184.4+2100.3+166471.8+624655.7+484553.1)*C$16</f>
        <v>19.105893990855204</v>
      </c>
      <c r="C184" s="2">
        <v>0</v>
      </c>
      <c r="D184" s="2">
        <v>0</v>
      </c>
      <c r="L184" s="4"/>
      <c r="M184" s="4"/>
      <c r="N184" s="4"/>
    </row>
    <row r="185" spans="1:14" ht="13" x14ac:dyDescent="0.15">
      <c r="A185" s="1" t="s">
        <v>250</v>
      </c>
      <c r="B185" s="1">
        <f>484553.1/(161310.9+13184.4+2100.3+166471.8+624655.7+484553.1)*C$16</f>
        <v>14.820676672829947</v>
      </c>
      <c r="C185" s="2">
        <v>0</v>
      </c>
      <c r="D185" s="2">
        <v>0</v>
      </c>
      <c r="L185" s="4"/>
      <c r="M185" s="4"/>
      <c r="N185" s="4"/>
    </row>
    <row r="186" spans="1:14" ht="13" x14ac:dyDescent="0.15">
      <c r="B186">
        <f>SUM(B107:B185)</f>
        <v>21198.293266400302</v>
      </c>
      <c r="C186" s="25">
        <f>SUM(C95:C106)</f>
        <v>21198.293266400306</v>
      </c>
      <c r="L186" s="4"/>
      <c r="M186" s="4"/>
      <c r="N186" s="4"/>
    </row>
    <row r="187" spans="1:14" ht="13" x14ac:dyDescent="0.15">
      <c r="L187" s="4"/>
      <c r="M187" s="4"/>
      <c r="N187" s="4"/>
    </row>
    <row r="188" spans="1:14" ht="13" x14ac:dyDescent="0.15">
      <c r="L188" s="4"/>
      <c r="M188" s="4"/>
      <c r="N188" s="4"/>
    </row>
    <row r="189" spans="1:14" ht="13" x14ac:dyDescent="0.15">
      <c r="L189" s="4"/>
      <c r="M189" s="4"/>
      <c r="N189" s="4"/>
    </row>
    <row r="190" spans="1:14" ht="13" x14ac:dyDescent="0.15">
      <c r="L190" s="4"/>
      <c r="M190" s="4"/>
      <c r="N190" s="4"/>
    </row>
    <row r="191" spans="1:14" ht="13" x14ac:dyDescent="0.15">
      <c r="L191" s="4"/>
      <c r="M191" s="4"/>
      <c r="N191" s="4"/>
    </row>
    <row r="192" spans="1:14" ht="13" x14ac:dyDescent="0.15">
      <c r="L192" s="4"/>
      <c r="M192" s="4"/>
      <c r="N192" s="4"/>
    </row>
    <row r="193" spans="12:14" ht="13" x14ac:dyDescent="0.15">
      <c r="L193" s="4"/>
      <c r="M193" s="4"/>
      <c r="N193" s="4"/>
    </row>
    <row r="194" spans="12:14" ht="13" x14ac:dyDescent="0.15">
      <c r="L194" s="4"/>
      <c r="M194" s="4"/>
      <c r="N194" s="4"/>
    </row>
    <row r="195" spans="12:14" ht="13" x14ac:dyDescent="0.15">
      <c r="L195" s="4"/>
      <c r="M195" s="4"/>
      <c r="N195" s="4"/>
    </row>
    <row r="196" spans="12:14" ht="13" x14ac:dyDescent="0.15">
      <c r="L196" s="4"/>
      <c r="M196" s="4"/>
      <c r="N196" s="4"/>
    </row>
    <row r="197" spans="12:14" ht="13" x14ac:dyDescent="0.15">
      <c r="L197" s="4"/>
      <c r="M197" s="4"/>
      <c r="N197" s="4"/>
    </row>
    <row r="198" spans="12:14" ht="13" x14ac:dyDescent="0.15">
      <c r="L198" s="4"/>
      <c r="M198" s="4"/>
      <c r="N198" s="4"/>
    </row>
    <row r="199" spans="12:14" ht="13" x14ac:dyDescent="0.15">
      <c r="L199" s="4"/>
      <c r="M199" s="4"/>
      <c r="N199" s="4"/>
    </row>
    <row r="200" spans="12:14" ht="13" x14ac:dyDescent="0.15">
      <c r="L200" s="4"/>
      <c r="M200" s="4"/>
      <c r="N200" s="4"/>
    </row>
    <row r="201" spans="12:14" ht="13" x14ac:dyDescent="0.15">
      <c r="L201" s="4"/>
      <c r="M201" s="4"/>
      <c r="N201" s="4"/>
    </row>
    <row r="202" spans="12:14" ht="13" x14ac:dyDescent="0.15">
      <c r="L202" s="4"/>
      <c r="M202" s="4"/>
      <c r="N202" s="4"/>
    </row>
    <row r="203" spans="12:14" ht="13" x14ac:dyDescent="0.15">
      <c r="L203" s="4"/>
      <c r="M203" s="4"/>
      <c r="N203" s="4"/>
    </row>
    <row r="204" spans="12:14" ht="13" x14ac:dyDescent="0.15">
      <c r="L204" s="4"/>
      <c r="M204" s="4"/>
      <c r="N204" s="4"/>
    </row>
    <row r="205" spans="12:14" ht="13" x14ac:dyDescent="0.15">
      <c r="L205" s="4"/>
      <c r="M205" s="4"/>
      <c r="N205" s="4"/>
    </row>
    <row r="206" spans="12:14" ht="13" x14ac:dyDescent="0.15">
      <c r="L206" s="4"/>
      <c r="M206" s="4"/>
      <c r="N206" s="4"/>
    </row>
    <row r="207" spans="12:14" ht="13" x14ac:dyDescent="0.15">
      <c r="L207" s="4"/>
      <c r="M207" s="4"/>
      <c r="N207" s="4"/>
    </row>
    <row r="208" spans="12:14" ht="13" x14ac:dyDescent="0.15">
      <c r="L208" s="4"/>
      <c r="M208" s="4"/>
      <c r="N208" s="4"/>
    </row>
    <row r="209" spans="12:14" ht="13" x14ac:dyDescent="0.15">
      <c r="L209" s="4"/>
      <c r="M209" s="4"/>
      <c r="N209" s="4"/>
    </row>
    <row r="210" spans="12:14" ht="13" x14ac:dyDescent="0.15">
      <c r="L210" s="4"/>
      <c r="M210" s="4"/>
      <c r="N210" s="4"/>
    </row>
    <row r="211" spans="12:14" ht="13" x14ac:dyDescent="0.15">
      <c r="L211" s="4"/>
      <c r="M211" s="4"/>
      <c r="N211" s="4"/>
    </row>
    <row r="212" spans="12:14" ht="13" x14ac:dyDescent="0.15">
      <c r="L212" s="4"/>
      <c r="M212" s="4"/>
      <c r="N212" s="4"/>
    </row>
    <row r="213" spans="12:14" ht="13" x14ac:dyDescent="0.15">
      <c r="L213" s="4"/>
      <c r="M213" s="4"/>
      <c r="N213" s="4"/>
    </row>
    <row r="214" spans="12:14" ht="13" x14ac:dyDescent="0.15">
      <c r="L214" s="4"/>
      <c r="M214" s="4"/>
      <c r="N214" s="4"/>
    </row>
    <row r="215" spans="12:14" ht="13" x14ac:dyDescent="0.15">
      <c r="L215" s="4"/>
      <c r="M215" s="4"/>
      <c r="N215" s="4"/>
    </row>
    <row r="216" spans="12:14" ht="13" x14ac:dyDescent="0.15">
      <c r="L216" s="4"/>
      <c r="M216" s="4"/>
      <c r="N216" s="4"/>
    </row>
    <row r="217" spans="12:14" ht="13" x14ac:dyDescent="0.15">
      <c r="L217" s="4"/>
      <c r="M217" s="4"/>
      <c r="N217" s="4"/>
    </row>
    <row r="218" spans="12:14" ht="13" x14ac:dyDescent="0.15">
      <c r="L218" s="4"/>
      <c r="M218" s="4"/>
      <c r="N218" s="4"/>
    </row>
    <row r="219" spans="12:14" ht="13" x14ac:dyDescent="0.15">
      <c r="L219" s="4"/>
      <c r="M219" s="4"/>
      <c r="N219" s="4"/>
    </row>
    <row r="220" spans="12:14" ht="13" x14ac:dyDescent="0.15">
      <c r="L220" s="4"/>
      <c r="M220" s="4"/>
      <c r="N220" s="4"/>
    </row>
    <row r="221" spans="12:14" ht="13" x14ac:dyDescent="0.15">
      <c r="L221" s="4"/>
      <c r="M221" s="4"/>
      <c r="N221" s="4"/>
    </row>
    <row r="222" spans="12:14" ht="13" x14ac:dyDescent="0.15">
      <c r="L222" s="4"/>
      <c r="M222" s="4"/>
      <c r="N222" s="4"/>
    </row>
    <row r="223" spans="12:14" ht="13" x14ac:dyDescent="0.15">
      <c r="L223" s="4"/>
      <c r="M223" s="4"/>
      <c r="N223" s="4"/>
    </row>
    <row r="224" spans="12:14" ht="13" x14ac:dyDescent="0.15">
      <c r="L224" s="4"/>
      <c r="M224" s="4"/>
      <c r="N224" s="4"/>
    </row>
    <row r="225" spans="12:14" ht="13" x14ac:dyDescent="0.15">
      <c r="L225" s="4"/>
      <c r="M225" s="4"/>
      <c r="N225" s="4"/>
    </row>
    <row r="226" spans="12:14" ht="13" x14ac:dyDescent="0.15">
      <c r="L226" s="4"/>
      <c r="M226" s="4"/>
      <c r="N226" s="4"/>
    </row>
    <row r="227" spans="12:14" ht="13" x14ac:dyDescent="0.15">
      <c r="L227" s="4"/>
      <c r="M227" s="4"/>
      <c r="N227" s="4"/>
    </row>
    <row r="228" spans="12:14" ht="13" x14ac:dyDescent="0.15">
      <c r="L228" s="4"/>
      <c r="M228" s="4"/>
      <c r="N228" s="4"/>
    </row>
    <row r="229" spans="12:14" ht="13" x14ac:dyDescent="0.15">
      <c r="L229" s="4"/>
      <c r="M229" s="4"/>
      <c r="N229" s="4"/>
    </row>
    <row r="230" spans="12:14" ht="13" x14ac:dyDescent="0.15">
      <c r="L230" s="4"/>
      <c r="M230" s="4"/>
      <c r="N230" s="4"/>
    </row>
    <row r="231" spans="12:14" ht="13" x14ac:dyDescent="0.15">
      <c r="L231" s="4"/>
      <c r="M231" s="4"/>
      <c r="N231" s="4"/>
    </row>
    <row r="232" spans="12:14" ht="13" x14ac:dyDescent="0.15">
      <c r="L232" s="4"/>
      <c r="M232" s="4"/>
      <c r="N232" s="4"/>
    </row>
    <row r="233" spans="12:14" ht="13" x14ac:dyDescent="0.15">
      <c r="L233" s="4"/>
      <c r="M233" s="4"/>
      <c r="N233" s="4"/>
    </row>
    <row r="234" spans="12:14" ht="13" x14ac:dyDescent="0.15">
      <c r="L234" s="4"/>
      <c r="M234" s="4"/>
      <c r="N234" s="4"/>
    </row>
    <row r="235" spans="12:14" ht="13" x14ac:dyDescent="0.15">
      <c r="L235" s="4"/>
      <c r="M235" s="4"/>
      <c r="N235" s="4"/>
    </row>
    <row r="236" spans="12:14" ht="13" x14ac:dyDescent="0.15">
      <c r="L236" s="4"/>
      <c r="M236" s="4"/>
      <c r="N236" s="4"/>
    </row>
    <row r="237" spans="12:14" ht="13" x14ac:dyDescent="0.15">
      <c r="L237" s="4"/>
      <c r="M237" s="4"/>
      <c r="N237" s="4"/>
    </row>
    <row r="238" spans="12:14" ht="13" x14ac:dyDescent="0.15">
      <c r="L238" s="4"/>
      <c r="M238" s="4"/>
      <c r="N238" s="4"/>
    </row>
    <row r="239" spans="12:14" ht="13" x14ac:dyDescent="0.15">
      <c r="L239" s="4"/>
      <c r="M239" s="4"/>
      <c r="N239" s="4"/>
    </row>
    <row r="240" spans="12:14" ht="13" x14ac:dyDescent="0.15">
      <c r="L240" s="4"/>
      <c r="M240" s="4"/>
      <c r="N240" s="4"/>
    </row>
    <row r="241" spans="12:14" ht="13" x14ac:dyDescent="0.15">
      <c r="L241" s="4"/>
      <c r="M241" s="4"/>
      <c r="N241" s="4"/>
    </row>
    <row r="242" spans="12:14" ht="13" x14ac:dyDescent="0.15">
      <c r="L242" s="4"/>
      <c r="M242" s="4"/>
      <c r="N242" s="4"/>
    </row>
    <row r="243" spans="12:14" ht="13" x14ac:dyDescent="0.15">
      <c r="L243" s="4"/>
      <c r="M243" s="4"/>
      <c r="N243" s="4"/>
    </row>
    <row r="244" spans="12:14" ht="13" x14ac:dyDescent="0.15">
      <c r="L244" s="4"/>
      <c r="M244" s="4"/>
      <c r="N244" s="4"/>
    </row>
    <row r="245" spans="12:14" ht="13" x14ac:dyDescent="0.15">
      <c r="L245" s="4"/>
      <c r="M245" s="4"/>
      <c r="N245" s="4"/>
    </row>
    <row r="246" spans="12:14" ht="13" x14ac:dyDescent="0.15">
      <c r="L246" s="4"/>
      <c r="M246" s="4"/>
      <c r="N246" s="4"/>
    </row>
    <row r="247" spans="12:14" ht="13" x14ac:dyDescent="0.15">
      <c r="L247" s="4"/>
      <c r="M247" s="4"/>
      <c r="N247" s="4"/>
    </row>
    <row r="248" spans="12:14" ht="13" x14ac:dyDescent="0.15">
      <c r="L248" s="4"/>
      <c r="M248" s="4"/>
      <c r="N248" s="4"/>
    </row>
    <row r="249" spans="12:14" ht="13" x14ac:dyDescent="0.15">
      <c r="L249" s="4"/>
      <c r="M249" s="4"/>
      <c r="N249" s="4"/>
    </row>
    <row r="250" spans="12:14" ht="13" x14ac:dyDescent="0.15">
      <c r="L250" s="4"/>
      <c r="M250" s="4"/>
      <c r="N250" s="4"/>
    </row>
    <row r="251" spans="12:14" ht="13" x14ac:dyDescent="0.15">
      <c r="L251" s="4"/>
      <c r="M251" s="4"/>
      <c r="N251" s="4"/>
    </row>
    <row r="252" spans="12:14" ht="13" x14ac:dyDescent="0.15">
      <c r="L252" s="4"/>
      <c r="M252" s="4"/>
      <c r="N252" s="4"/>
    </row>
    <row r="253" spans="12:14" ht="13" x14ac:dyDescent="0.15">
      <c r="L253" s="4"/>
      <c r="M253" s="4"/>
      <c r="N253" s="4"/>
    </row>
    <row r="254" spans="12:14" ht="13" x14ac:dyDescent="0.15">
      <c r="L254" s="4"/>
      <c r="M254" s="4"/>
      <c r="N254" s="4"/>
    </row>
    <row r="255" spans="12:14" ht="13" x14ac:dyDescent="0.15">
      <c r="L255" s="4"/>
      <c r="M255" s="4"/>
      <c r="N255" s="4"/>
    </row>
    <row r="256" spans="12:14" ht="13" x14ac:dyDescent="0.15">
      <c r="L256" s="4"/>
      <c r="M256" s="4"/>
      <c r="N256" s="4"/>
    </row>
    <row r="257" spans="12:14" ht="13" x14ac:dyDescent="0.15">
      <c r="L257" s="4"/>
      <c r="M257" s="4"/>
      <c r="N257" s="4"/>
    </row>
    <row r="258" spans="12:14" ht="13" x14ac:dyDescent="0.15">
      <c r="L258" s="4"/>
      <c r="M258" s="4"/>
      <c r="N258" s="4"/>
    </row>
    <row r="259" spans="12:14" ht="13" x14ac:dyDescent="0.15">
      <c r="L259" s="4"/>
      <c r="M259" s="4"/>
      <c r="N259" s="4"/>
    </row>
    <row r="260" spans="12:14" ht="13" x14ac:dyDescent="0.15">
      <c r="L260" s="4"/>
      <c r="M260" s="4"/>
      <c r="N260" s="4"/>
    </row>
    <row r="261" spans="12:14" ht="13" x14ac:dyDescent="0.15">
      <c r="L261" s="4"/>
      <c r="M261" s="4"/>
      <c r="N261" s="4"/>
    </row>
    <row r="262" spans="12:14" ht="13" x14ac:dyDescent="0.15">
      <c r="L262" s="4"/>
      <c r="M262" s="4"/>
      <c r="N262" s="4"/>
    </row>
    <row r="263" spans="12:14" ht="13" x14ac:dyDescent="0.15">
      <c r="L263" s="4"/>
      <c r="M263" s="4"/>
      <c r="N263" s="4"/>
    </row>
    <row r="264" spans="12:14" ht="13" x14ac:dyDescent="0.15">
      <c r="L264" s="4"/>
      <c r="M264" s="4"/>
      <c r="N264" s="4"/>
    </row>
    <row r="265" spans="12:14" ht="13" x14ac:dyDescent="0.15">
      <c r="L265" s="4"/>
      <c r="M265" s="4"/>
      <c r="N265" s="4"/>
    </row>
    <row r="266" spans="12:14" ht="13" x14ac:dyDescent="0.15">
      <c r="L266" s="4"/>
      <c r="M266" s="4"/>
      <c r="N266" s="4"/>
    </row>
    <row r="267" spans="12:14" ht="13" x14ac:dyDescent="0.15">
      <c r="L267" s="4"/>
      <c r="M267" s="4"/>
      <c r="N267" s="4"/>
    </row>
    <row r="268" spans="12:14" ht="13" x14ac:dyDescent="0.15">
      <c r="L268" s="4"/>
      <c r="M268" s="4"/>
      <c r="N268" s="4"/>
    </row>
    <row r="269" spans="12:14" ht="13" x14ac:dyDescent="0.15">
      <c r="L269" s="4"/>
      <c r="M269" s="4"/>
      <c r="N269" s="4"/>
    </row>
    <row r="270" spans="12:14" ht="13" x14ac:dyDescent="0.15">
      <c r="L270" s="4"/>
      <c r="M270" s="4"/>
      <c r="N270" s="4"/>
    </row>
    <row r="271" spans="12:14" ht="13" x14ac:dyDescent="0.15">
      <c r="L271" s="4"/>
      <c r="M271" s="4"/>
      <c r="N271" s="4"/>
    </row>
    <row r="272" spans="12:14" ht="13" x14ac:dyDescent="0.15">
      <c r="L272" s="4"/>
      <c r="M272" s="4"/>
      <c r="N272" s="4"/>
    </row>
    <row r="273" spans="12:14" ht="13" x14ac:dyDescent="0.15">
      <c r="L273" s="4"/>
      <c r="M273" s="4"/>
      <c r="N273" s="4"/>
    </row>
    <row r="274" spans="12:14" ht="13" x14ac:dyDescent="0.15">
      <c r="L274" s="4"/>
      <c r="M274" s="4"/>
      <c r="N274" s="4"/>
    </row>
    <row r="275" spans="12:14" ht="13" x14ac:dyDescent="0.15">
      <c r="L275" s="4"/>
      <c r="M275" s="4"/>
      <c r="N275" s="4"/>
    </row>
    <row r="276" spans="12:14" ht="13" x14ac:dyDescent="0.15">
      <c r="L276" s="4"/>
      <c r="M276" s="4"/>
      <c r="N276" s="4"/>
    </row>
    <row r="277" spans="12:14" ht="13" x14ac:dyDescent="0.15">
      <c r="L277" s="4"/>
      <c r="M277" s="4"/>
      <c r="N277" s="4"/>
    </row>
    <row r="278" spans="12:14" ht="13" x14ac:dyDescent="0.15">
      <c r="L278" s="4"/>
      <c r="M278" s="4"/>
      <c r="N278" s="4"/>
    </row>
    <row r="279" spans="12:14" ht="13" x14ac:dyDescent="0.15">
      <c r="L279" s="4"/>
      <c r="M279" s="4"/>
      <c r="N279" s="4"/>
    </row>
    <row r="280" spans="12:14" ht="13" x14ac:dyDescent="0.15">
      <c r="L280" s="4"/>
      <c r="M280" s="4"/>
      <c r="N280" s="4"/>
    </row>
    <row r="281" spans="12:14" ht="13" x14ac:dyDescent="0.15">
      <c r="L281" s="4"/>
      <c r="M281" s="4"/>
      <c r="N281" s="4"/>
    </row>
    <row r="282" spans="12:14" ht="13" x14ac:dyDescent="0.15">
      <c r="L282" s="4"/>
      <c r="M282" s="4"/>
      <c r="N282" s="4"/>
    </row>
    <row r="283" spans="12:14" ht="13" x14ac:dyDescent="0.15">
      <c r="L283" s="4"/>
      <c r="M283" s="4"/>
      <c r="N283" s="4"/>
    </row>
    <row r="284" spans="12:14" ht="13" x14ac:dyDescent="0.15">
      <c r="L284" s="4"/>
      <c r="M284" s="4"/>
      <c r="N284" s="4"/>
    </row>
    <row r="285" spans="12:14" ht="13" x14ac:dyDescent="0.15">
      <c r="L285" s="4"/>
      <c r="M285" s="4"/>
      <c r="N285" s="4"/>
    </row>
    <row r="286" spans="12:14" ht="13" x14ac:dyDescent="0.15">
      <c r="L286" s="4"/>
      <c r="M286" s="4"/>
      <c r="N286" s="4"/>
    </row>
    <row r="287" spans="12:14" ht="13" x14ac:dyDescent="0.15">
      <c r="L287" s="4"/>
      <c r="M287" s="4"/>
      <c r="N287" s="4"/>
    </row>
    <row r="288" spans="12:14" ht="13" x14ac:dyDescent="0.15">
      <c r="L288" s="4"/>
      <c r="M288" s="4"/>
      <c r="N288" s="4"/>
    </row>
    <row r="289" spans="12:14" ht="13" x14ac:dyDescent="0.15">
      <c r="L289" s="4"/>
      <c r="M289" s="4"/>
      <c r="N289" s="4"/>
    </row>
    <row r="290" spans="12:14" ht="13" x14ac:dyDescent="0.15">
      <c r="L290" s="4"/>
      <c r="M290" s="4"/>
      <c r="N290" s="4"/>
    </row>
    <row r="291" spans="12:14" ht="13" x14ac:dyDescent="0.15">
      <c r="L291" s="4"/>
      <c r="M291" s="4"/>
      <c r="N291" s="4"/>
    </row>
    <row r="292" spans="12:14" ht="13" x14ac:dyDescent="0.15">
      <c r="L292" s="4"/>
      <c r="M292" s="4"/>
      <c r="N292" s="4"/>
    </row>
    <row r="293" spans="12:14" ht="13" x14ac:dyDescent="0.15">
      <c r="L293" s="4"/>
      <c r="M293" s="4"/>
      <c r="N293" s="4"/>
    </row>
    <row r="294" spans="12:14" ht="13" x14ac:dyDescent="0.15">
      <c r="L294" s="4"/>
      <c r="M294" s="4"/>
      <c r="N294" s="4"/>
    </row>
    <row r="295" spans="12:14" ht="13" x14ac:dyDescent="0.15">
      <c r="L295" s="4"/>
      <c r="M295" s="4"/>
      <c r="N295" s="4"/>
    </row>
    <row r="296" spans="12:14" ht="13" x14ac:dyDescent="0.15">
      <c r="L296" s="4"/>
      <c r="M296" s="4"/>
      <c r="N296" s="4"/>
    </row>
    <row r="297" spans="12:14" ht="13" x14ac:dyDescent="0.15">
      <c r="L297" s="4"/>
      <c r="M297" s="4"/>
      <c r="N297" s="4"/>
    </row>
    <row r="298" spans="12:14" ht="13" x14ac:dyDescent="0.15">
      <c r="L298" s="4"/>
      <c r="M298" s="4"/>
      <c r="N298" s="4"/>
    </row>
    <row r="299" spans="12:14" ht="13" x14ac:dyDescent="0.15">
      <c r="L299" s="4"/>
      <c r="M299" s="4"/>
      <c r="N299" s="4"/>
    </row>
    <row r="300" spans="12:14" ht="13" x14ac:dyDescent="0.15">
      <c r="L300" s="4"/>
      <c r="M300" s="4"/>
      <c r="N300" s="4"/>
    </row>
    <row r="301" spans="12:14" ht="13" x14ac:dyDescent="0.15">
      <c r="L301" s="4"/>
      <c r="M301" s="4"/>
      <c r="N301" s="4"/>
    </row>
    <row r="302" spans="12:14" ht="13" x14ac:dyDescent="0.15">
      <c r="L302" s="4"/>
      <c r="M302" s="4"/>
      <c r="N302" s="4"/>
    </row>
    <row r="303" spans="12:14" ht="13" x14ac:dyDescent="0.15">
      <c r="L303" s="4"/>
      <c r="M303" s="4"/>
      <c r="N303" s="4"/>
    </row>
    <row r="304" spans="12:14" ht="13" x14ac:dyDescent="0.15">
      <c r="L304" s="4"/>
      <c r="M304" s="4"/>
      <c r="N304" s="4"/>
    </row>
    <row r="305" spans="12:14" ht="13" x14ac:dyDescent="0.15">
      <c r="L305" s="4"/>
      <c r="M305" s="4"/>
      <c r="N305" s="4"/>
    </row>
    <row r="306" spans="12:14" ht="13" x14ac:dyDescent="0.15">
      <c r="L306" s="4"/>
      <c r="M306" s="4"/>
      <c r="N306" s="4"/>
    </row>
    <row r="307" spans="12:14" ht="13" x14ac:dyDescent="0.15">
      <c r="L307" s="4"/>
      <c r="M307" s="4"/>
      <c r="N307" s="4"/>
    </row>
    <row r="308" spans="12:14" ht="13" x14ac:dyDescent="0.15">
      <c r="L308" s="4"/>
      <c r="M308" s="4"/>
      <c r="N308" s="4"/>
    </row>
    <row r="309" spans="12:14" ht="13" x14ac:dyDescent="0.15">
      <c r="L309" s="4"/>
      <c r="M309" s="4"/>
      <c r="N309" s="4"/>
    </row>
    <row r="310" spans="12:14" ht="13" x14ac:dyDescent="0.15">
      <c r="L310" s="4"/>
      <c r="M310" s="4"/>
      <c r="N310" s="4"/>
    </row>
    <row r="311" spans="12:14" ht="13" x14ac:dyDescent="0.15">
      <c r="L311" s="4"/>
      <c r="M311" s="4"/>
      <c r="N311" s="4"/>
    </row>
    <row r="312" spans="12:14" ht="13" x14ac:dyDescent="0.15">
      <c r="L312" s="4"/>
      <c r="M312" s="4"/>
      <c r="N312" s="4"/>
    </row>
    <row r="313" spans="12:14" ht="13" x14ac:dyDescent="0.15">
      <c r="L313" s="4"/>
      <c r="M313" s="4"/>
      <c r="N313" s="4"/>
    </row>
    <row r="314" spans="12:14" ht="13" x14ac:dyDescent="0.15">
      <c r="L314" s="4"/>
      <c r="M314" s="4"/>
      <c r="N314" s="4"/>
    </row>
    <row r="315" spans="12:14" ht="13" x14ac:dyDescent="0.15">
      <c r="L315" s="4"/>
      <c r="M315" s="4"/>
      <c r="N315" s="4"/>
    </row>
    <row r="316" spans="12:14" ht="13" x14ac:dyDescent="0.15">
      <c r="L316" s="4"/>
      <c r="M316" s="4"/>
      <c r="N316" s="4"/>
    </row>
    <row r="317" spans="12:14" ht="13" x14ac:dyDescent="0.15">
      <c r="L317" s="4"/>
      <c r="M317" s="4"/>
      <c r="N317" s="4"/>
    </row>
    <row r="318" spans="12:14" ht="13" x14ac:dyDescent="0.15">
      <c r="L318" s="4"/>
      <c r="M318" s="4"/>
      <c r="N318" s="4"/>
    </row>
    <row r="319" spans="12:14" ht="13" x14ac:dyDescent="0.15">
      <c r="L319" s="4"/>
      <c r="M319" s="4"/>
      <c r="N319" s="4"/>
    </row>
    <row r="320" spans="12:14" ht="13" x14ac:dyDescent="0.15">
      <c r="L320" s="4"/>
      <c r="M320" s="4"/>
      <c r="N320" s="4"/>
    </row>
    <row r="321" spans="12:14" ht="13" x14ac:dyDescent="0.15">
      <c r="L321" s="4"/>
      <c r="M321" s="4"/>
      <c r="N321" s="4"/>
    </row>
    <row r="322" spans="12:14" ht="13" x14ac:dyDescent="0.15">
      <c r="L322" s="4"/>
      <c r="M322" s="4"/>
      <c r="N322" s="4"/>
    </row>
    <row r="323" spans="12:14" ht="13" x14ac:dyDescent="0.15">
      <c r="L323" s="4"/>
      <c r="M323" s="4"/>
      <c r="N323" s="4"/>
    </row>
    <row r="324" spans="12:14" ht="13" x14ac:dyDescent="0.15">
      <c r="L324" s="4"/>
      <c r="M324" s="4"/>
      <c r="N324" s="4"/>
    </row>
    <row r="325" spans="12:14" ht="13" x14ac:dyDescent="0.15">
      <c r="L325" s="4"/>
      <c r="M325" s="4"/>
      <c r="N325" s="4"/>
    </row>
    <row r="326" spans="12:14" ht="13" x14ac:dyDescent="0.15">
      <c r="L326" s="4"/>
      <c r="M326" s="4"/>
      <c r="N326" s="4"/>
    </row>
    <row r="327" spans="12:14" ht="13" x14ac:dyDescent="0.15">
      <c r="L327" s="4"/>
      <c r="M327" s="4"/>
      <c r="N327" s="4"/>
    </row>
    <row r="328" spans="12:14" ht="13" x14ac:dyDescent="0.15">
      <c r="L328" s="4"/>
      <c r="M328" s="4"/>
      <c r="N328" s="4"/>
    </row>
    <row r="329" spans="12:14" ht="13" x14ac:dyDescent="0.15">
      <c r="L329" s="4"/>
      <c r="M329" s="4"/>
      <c r="N329" s="4"/>
    </row>
    <row r="330" spans="12:14" ht="13" x14ac:dyDescent="0.15">
      <c r="L330" s="4"/>
      <c r="M330" s="4"/>
      <c r="N330" s="4"/>
    </row>
    <row r="331" spans="12:14" ht="13" x14ac:dyDescent="0.15">
      <c r="L331" s="4"/>
      <c r="M331" s="4"/>
      <c r="N331" s="4"/>
    </row>
    <row r="332" spans="12:14" ht="13" x14ac:dyDescent="0.15">
      <c r="L332" s="4"/>
      <c r="M332" s="4"/>
      <c r="N332" s="4"/>
    </row>
    <row r="333" spans="12:14" ht="13" x14ac:dyDescent="0.15">
      <c r="L333" s="4"/>
      <c r="M333" s="4"/>
      <c r="N333" s="4"/>
    </row>
    <row r="334" spans="12:14" ht="13" x14ac:dyDescent="0.15">
      <c r="L334" s="4"/>
      <c r="M334" s="4"/>
      <c r="N334" s="4"/>
    </row>
    <row r="335" spans="12:14" ht="13" x14ac:dyDescent="0.15">
      <c r="L335" s="4"/>
      <c r="M335" s="4"/>
      <c r="N335" s="4"/>
    </row>
    <row r="336" spans="12:14" ht="13" x14ac:dyDescent="0.15">
      <c r="L336" s="4"/>
      <c r="M336" s="4"/>
      <c r="N336" s="4"/>
    </row>
    <row r="337" spans="12:14" ht="13" x14ac:dyDescent="0.15">
      <c r="L337" s="4"/>
      <c r="M337" s="4"/>
      <c r="N337" s="4"/>
    </row>
    <row r="338" spans="12:14" ht="13" x14ac:dyDescent="0.15">
      <c r="L338" s="4"/>
      <c r="M338" s="4"/>
      <c r="N338" s="4"/>
    </row>
    <row r="339" spans="12:14" ht="13" x14ac:dyDescent="0.15">
      <c r="L339" s="4"/>
      <c r="M339" s="4"/>
      <c r="N339" s="4"/>
    </row>
    <row r="340" spans="12:14" ht="13" x14ac:dyDescent="0.15">
      <c r="L340" s="4"/>
      <c r="M340" s="4"/>
      <c r="N340" s="4"/>
    </row>
    <row r="341" spans="12:14" ht="13" x14ac:dyDescent="0.15">
      <c r="L341" s="4"/>
      <c r="M341" s="4"/>
      <c r="N341" s="4"/>
    </row>
    <row r="342" spans="12:14" ht="13" x14ac:dyDescent="0.15">
      <c r="L342" s="4"/>
      <c r="M342" s="4"/>
      <c r="N342" s="4"/>
    </row>
    <row r="343" spans="12:14" ht="13" x14ac:dyDescent="0.15">
      <c r="L343" s="4"/>
      <c r="M343" s="4"/>
      <c r="N343" s="4"/>
    </row>
    <row r="344" spans="12:14" ht="13" x14ac:dyDescent="0.15">
      <c r="L344" s="4"/>
      <c r="M344" s="4"/>
      <c r="N344" s="4"/>
    </row>
    <row r="345" spans="12:14" ht="13" x14ac:dyDescent="0.15">
      <c r="L345" s="4"/>
      <c r="M345" s="4"/>
      <c r="N345" s="4"/>
    </row>
    <row r="346" spans="12:14" ht="13" x14ac:dyDescent="0.15">
      <c r="L346" s="4"/>
      <c r="M346" s="4"/>
      <c r="N346" s="4"/>
    </row>
    <row r="347" spans="12:14" ht="13" x14ac:dyDescent="0.15">
      <c r="L347" s="4"/>
      <c r="M347" s="4"/>
      <c r="N347" s="4"/>
    </row>
    <row r="348" spans="12:14" ht="13" x14ac:dyDescent="0.15">
      <c r="L348" s="4"/>
      <c r="M348" s="4"/>
      <c r="N348" s="4"/>
    </row>
    <row r="349" spans="12:14" ht="13" x14ac:dyDescent="0.15">
      <c r="L349" s="4"/>
      <c r="M349" s="4"/>
      <c r="N349" s="4"/>
    </row>
    <row r="350" spans="12:14" ht="13" x14ac:dyDescent="0.15">
      <c r="L350" s="4"/>
      <c r="M350" s="4"/>
      <c r="N350" s="4"/>
    </row>
    <row r="351" spans="12:14" ht="13" x14ac:dyDescent="0.15">
      <c r="L351" s="4"/>
      <c r="M351" s="4"/>
      <c r="N351" s="4"/>
    </row>
    <row r="352" spans="12:14" ht="13" x14ac:dyDescent="0.15">
      <c r="L352" s="4"/>
      <c r="M352" s="4"/>
      <c r="N352" s="4"/>
    </row>
    <row r="353" spans="12:14" ht="13" x14ac:dyDescent="0.15">
      <c r="L353" s="4"/>
      <c r="M353" s="4"/>
      <c r="N353" s="4"/>
    </row>
    <row r="354" spans="12:14" ht="13" x14ac:dyDescent="0.15">
      <c r="L354" s="4"/>
      <c r="M354" s="4"/>
      <c r="N354" s="4"/>
    </row>
    <row r="355" spans="12:14" ht="13" x14ac:dyDescent="0.15">
      <c r="L355" s="4"/>
      <c r="M355" s="4"/>
      <c r="N355" s="4"/>
    </row>
    <row r="356" spans="12:14" ht="13" x14ac:dyDescent="0.15">
      <c r="L356" s="4"/>
      <c r="M356" s="4"/>
      <c r="N356" s="4"/>
    </row>
    <row r="357" spans="12:14" ht="13" x14ac:dyDescent="0.15">
      <c r="L357" s="4"/>
      <c r="M357" s="4"/>
      <c r="N357" s="4"/>
    </row>
    <row r="358" spans="12:14" ht="13" x14ac:dyDescent="0.15">
      <c r="L358" s="4"/>
      <c r="M358" s="4"/>
      <c r="N358" s="4"/>
    </row>
    <row r="359" spans="12:14" ht="13" x14ac:dyDescent="0.15">
      <c r="L359" s="4"/>
      <c r="M359" s="4"/>
      <c r="N359" s="4"/>
    </row>
    <row r="360" spans="12:14" ht="13" x14ac:dyDescent="0.15">
      <c r="L360" s="4"/>
      <c r="M360" s="4"/>
      <c r="N360" s="4"/>
    </row>
    <row r="361" spans="12:14" ht="13" x14ac:dyDescent="0.15">
      <c r="L361" s="4"/>
      <c r="M361" s="4"/>
      <c r="N361" s="4"/>
    </row>
    <row r="362" spans="12:14" ht="13" x14ac:dyDescent="0.15">
      <c r="L362" s="4"/>
      <c r="M362" s="4"/>
      <c r="N362" s="4"/>
    </row>
    <row r="363" spans="12:14" ht="13" x14ac:dyDescent="0.15">
      <c r="L363" s="4"/>
      <c r="M363" s="4"/>
      <c r="N363" s="4"/>
    </row>
    <row r="364" spans="12:14" ht="13" x14ac:dyDescent="0.15">
      <c r="L364" s="4"/>
      <c r="M364" s="4"/>
      <c r="N364" s="4"/>
    </row>
    <row r="365" spans="12:14" ht="13" x14ac:dyDescent="0.15">
      <c r="L365" s="4"/>
      <c r="M365" s="4"/>
      <c r="N365" s="4"/>
    </row>
    <row r="366" spans="12:14" ht="13" x14ac:dyDescent="0.15">
      <c r="L366" s="4"/>
      <c r="M366" s="4"/>
      <c r="N366" s="4"/>
    </row>
    <row r="367" spans="12:14" ht="13" x14ac:dyDescent="0.15">
      <c r="L367" s="4"/>
      <c r="M367" s="4"/>
      <c r="N367" s="4"/>
    </row>
    <row r="368" spans="12:14" ht="13" x14ac:dyDescent="0.15">
      <c r="L368" s="4"/>
      <c r="M368" s="4"/>
      <c r="N368" s="4"/>
    </row>
    <row r="369" spans="12:14" ht="13" x14ac:dyDescent="0.15">
      <c r="L369" s="4"/>
      <c r="M369" s="4"/>
      <c r="N369" s="4"/>
    </row>
    <row r="370" spans="12:14" ht="13" x14ac:dyDescent="0.15">
      <c r="L370" s="4"/>
      <c r="M370" s="4"/>
      <c r="N370" s="4"/>
    </row>
    <row r="371" spans="12:14" ht="13" x14ac:dyDescent="0.15">
      <c r="L371" s="4"/>
      <c r="M371" s="4"/>
      <c r="N371" s="4"/>
    </row>
    <row r="372" spans="12:14" ht="13" x14ac:dyDescent="0.15">
      <c r="L372" s="4"/>
      <c r="M372" s="4"/>
      <c r="N372" s="4"/>
    </row>
    <row r="373" spans="12:14" ht="13" x14ac:dyDescent="0.15">
      <c r="L373" s="4"/>
      <c r="M373" s="4"/>
      <c r="N373" s="4"/>
    </row>
    <row r="374" spans="12:14" ht="13" x14ac:dyDescent="0.15">
      <c r="L374" s="4"/>
      <c r="M374" s="4"/>
      <c r="N374" s="4"/>
    </row>
    <row r="375" spans="12:14" ht="13" x14ac:dyDescent="0.15">
      <c r="L375" s="4"/>
      <c r="M375" s="4"/>
      <c r="N375" s="4"/>
    </row>
    <row r="376" spans="12:14" ht="13" x14ac:dyDescent="0.15">
      <c r="L376" s="4"/>
      <c r="M376" s="4"/>
      <c r="N376" s="4"/>
    </row>
    <row r="377" spans="12:14" ht="13" x14ac:dyDescent="0.15">
      <c r="L377" s="4"/>
      <c r="M377" s="4"/>
      <c r="N377" s="4"/>
    </row>
    <row r="378" spans="12:14" ht="13" x14ac:dyDescent="0.15">
      <c r="L378" s="4"/>
      <c r="M378" s="4"/>
      <c r="N378" s="4"/>
    </row>
    <row r="379" spans="12:14" ht="13" x14ac:dyDescent="0.15">
      <c r="L379" s="4"/>
      <c r="M379" s="4"/>
      <c r="N379" s="4"/>
    </row>
    <row r="380" spans="12:14" ht="13" x14ac:dyDescent="0.15">
      <c r="L380" s="4"/>
      <c r="M380" s="4"/>
      <c r="N380" s="4"/>
    </row>
    <row r="381" spans="12:14" ht="13" x14ac:dyDescent="0.15">
      <c r="L381" s="4"/>
      <c r="M381" s="4"/>
      <c r="N381" s="4"/>
    </row>
    <row r="382" spans="12:14" ht="13" x14ac:dyDescent="0.15">
      <c r="L382" s="4"/>
      <c r="M382" s="4"/>
      <c r="N382" s="4"/>
    </row>
    <row r="383" spans="12:14" ht="13" x14ac:dyDescent="0.15">
      <c r="L383" s="4"/>
      <c r="M383" s="4"/>
      <c r="N383" s="4"/>
    </row>
    <row r="384" spans="12:14" ht="13" x14ac:dyDescent="0.15">
      <c r="L384" s="4"/>
      <c r="M384" s="4"/>
      <c r="N384" s="4"/>
    </row>
    <row r="385" spans="12:14" ht="13" x14ac:dyDescent="0.15">
      <c r="L385" s="4"/>
      <c r="M385" s="4"/>
      <c r="N385" s="4"/>
    </row>
    <row r="386" spans="12:14" ht="13" x14ac:dyDescent="0.15">
      <c r="L386" s="4"/>
      <c r="M386" s="4"/>
      <c r="N386" s="4"/>
    </row>
    <row r="387" spans="12:14" ht="13" x14ac:dyDescent="0.15">
      <c r="L387" s="4"/>
      <c r="M387" s="4"/>
      <c r="N387" s="4"/>
    </row>
    <row r="388" spans="12:14" ht="13" x14ac:dyDescent="0.15">
      <c r="L388" s="4"/>
      <c r="M388" s="4"/>
      <c r="N388" s="4"/>
    </row>
    <row r="389" spans="12:14" ht="13" x14ac:dyDescent="0.15">
      <c r="L389" s="4"/>
      <c r="M389" s="4"/>
      <c r="N389" s="4"/>
    </row>
    <row r="390" spans="12:14" ht="13" x14ac:dyDescent="0.15">
      <c r="L390" s="4"/>
      <c r="M390" s="4"/>
      <c r="N390" s="4"/>
    </row>
    <row r="391" spans="12:14" ht="13" x14ac:dyDescent="0.15">
      <c r="L391" s="4"/>
      <c r="M391" s="4"/>
      <c r="N391" s="4"/>
    </row>
    <row r="392" spans="12:14" ht="13" x14ac:dyDescent="0.15">
      <c r="L392" s="4"/>
      <c r="M392" s="4"/>
      <c r="N392" s="4"/>
    </row>
    <row r="393" spans="12:14" ht="13" x14ac:dyDescent="0.15">
      <c r="L393" s="4"/>
      <c r="M393" s="4"/>
      <c r="N393" s="4"/>
    </row>
    <row r="394" spans="12:14" ht="13" x14ac:dyDescent="0.15">
      <c r="L394" s="4"/>
      <c r="M394" s="4"/>
      <c r="N394" s="4"/>
    </row>
    <row r="395" spans="12:14" ht="13" x14ac:dyDescent="0.15">
      <c r="L395" s="4"/>
      <c r="M395" s="4"/>
      <c r="N395" s="4"/>
    </row>
    <row r="396" spans="12:14" ht="13" x14ac:dyDescent="0.15">
      <c r="L396" s="4"/>
      <c r="M396" s="4"/>
      <c r="N396" s="4"/>
    </row>
    <row r="397" spans="12:14" ht="13" x14ac:dyDescent="0.15">
      <c r="L397" s="4"/>
      <c r="M397" s="4"/>
      <c r="N397" s="4"/>
    </row>
    <row r="398" spans="12:14" ht="13" x14ac:dyDescent="0.15">
      <c r="L398" s="4"/>
      <c r="M398" s="4"/>
      <c r="N398" s="4"/>
    </row>
    <row r="399" spans="12:14" ht="13" x14ac:dyDescent="0.15">
      <c r="L399" s="4"/>
      <c r="M399" s="4"/>
      <c r="N399" s="4"/>
    </row>
    <row r="400" spans="12:14" ht="13" x14ac:dyDescent="0.15">
      <c r="L400" s="4"/>
      <c r="M400" s="4"/>
      <c r="N400" s="4"/>
    </row>
    <row r="401" spans="12:14" ht="13" x14ac:dyDescent="0.15">
      <c r="L401" s="4"/>
      <c r="M401" s="4"/>
      <c r="N401" s="4"/>
    </row>
    <row r="402" spans="12:14" ht="13" x14ac:dyDescent="0.15">
      <c r="L402" s="4"/>
      <c r="M402" s="4"/>
      <c r="N402" s="4"/>
    </row>
    <row r="403" spans="12:14" ht="13" x14ac:dyDescent="0.15">
      <c r="L403" s="4"/>
      <c r="M403" s="4"/>
      <c r="N403" s="4"/>
    </row>
    <row r="404" spans="12:14" ht="13" x14ac:dyDescent="0.15">
      <c r="L404" s="4"/>
      <c r="M404" s="4"/>
      <c r="N404" s="4"/>
    </row>
    <row r="405" spans="12:14" ht="13" x14ac:dyDescent="0.15">
      <c r="L405" s="4"/>
      <c r="M405" s="4"/>
      <c r="N405" s="4"/>
    </row>
    <row r="406" spans="12:14" ht="13" x14ac:dyDescent="0.15">
      <c r="L406" s="4"/>
      <c r="M406" s="4"/>
      <c r="N406" s="4"/>
    </row>
    <row r="407" spans="12:14" ht="13" x14ac:dyDescent="0.15">
      <c r="L407" s="4"/>
      <c r="M407" s="4"/>
      <c r="N407" s="4"/>
    </row>
    <row r="408" spans="12:14" ht="13" x14ac:dyDescent="0.15">
      <c r="L408" s="4"/>
      <c r="M408" s="4"/>
      <c r="N408" s="4"/>
    </row>
    <row r="409" spans="12:14" ht="13" x14ac:dyDescent="0.15">
      <c r="L409" s="4"/>
      <c r="M409" s="4"/>
      <c r="N409" s="4"/>
    </row>
    <row r="410" spans="12:14" ht="13" x14ac:dyDescent="0.15">
      <c r="L410" s="4"/>
      <c r="M410" s="4"/>
      <c r="N410" s="4"/>
    </row>
    <row r="411" spans="12:14" ht="13" x14ac:dyDescent="0.15">
      <c r="L411" s="4"/>
      <c r="M411" s="4"/>
      <c r="N411" s="4"/>
    </row>
    <row r="412" spans="12:14" ht="13" x14ac:dyDescent="0.15">
      <c r="L412" s="4"/>
      <c r="M412" s="4"/>
      <c r="N412" s="4"/>
    </row>
    <row r="413" spans="12:14" ht="13" x14ac:dyDescent="0.15">
      <c r="L413" s="4"/>
      <c r="M413" s="4"/>
      <c r="N413" s="4"/>
    </row>
    <row r="414" spans="12:14" ht="13" x14ac:dyDescent="0.15">
      <c r="L414" s="4"/>
      <c r="M414" s="4"/>
      <c r="N414" s="4"/>
    </row>
    <row r="415" spans="12:14" ht="13" x14ac:dyDescent="0.15">
      <c r="L415" s="4"/>
      <c r="M415" s="4"/>
      <c r="N415" s="4"/>
    </row>
    <row r="416" spans="12:14" ht="13" x14ac:dyDescent="0.15">
      <c r="L416" s="4"/>
      <c r="M416" s="4"/>
      <c r="N416" s="4"/>
    </row>
    <row r="417" spans="12:14" ht="13" x14ac:dyDescent="0.15">
      <c r="L417" s="4"/>
      <c r="M417" s="4"/>
      <c r="N417" s="4"/>
    </row>
    <row r="418" spans="12:14" ht="13" x14ac:dyDescent="0.15">
      <c r="L418" s="4"/>
      <c r="M418" s="4"/>
      <c r="N418" s="4"/>
    </row>
    <row r="419" spans="12:14" ht="13" x14ac:dyDescent="0.15">
      <c r="L419" s="4"/>
      <c r="M419" s="4"/>
      <c r="N419" s="4"/>
    </row>
    <row r="420" spans="12:14" ht="13" x14ac:dyDescent="0.15">
      <c r="L420" s="4"/>
      <c r="M420" s="4"/>
      <c r="N420" s="4"/>
    </row>
    <row r="421" spans="12:14" ht="13" x14ac:dyDescent="0.15">
      <c r="L421" s="4"/>
      <c r="M421" s="4"/>
      <c r="N421" s="4"/>
    </row>
    <row r="422" spans="12:14" ht="13" x14ac:dyDescent="0.15">
      <c r="L422" s="4"/>
      <c r="M422" s="4"/>
      <c r="N422" s="4"/>
    </row>
    <row r="423" spans="12:14" ht="13" x14ac:dyDescent="0.15">
      <c r="L423" s="4"/>
      <c r="M423" s="4"/>
      <c r="N423" s="4"/>
    </row>
    <row r="424" spans="12:14" ht="13" x14ac:dyDescent="0.15">
      <c r="L424" s="4"/>
      <c r="M424" s="4"/>
      <c r="N424" s="4"/>
    </row>
    <row r="425" spans="12:14" ht="13" x14ac:dyDescent="0.15">
      <c r="L425" s="4"/>
      <c r="M425" s="4"/>
      <c r="N425" s="4"/>
    </row>
    <row r="426" spans="12:14" ht="13" x14ac:dyDescent="0.15">
      <c r="L426" s="4"/>
      <c r="M426" s="4"/>
      <c r="N426" s="4"/>
    </row>
    <row r="427" spans="12:14" ht="13" x14ac:dyDescent="0.15">
      <c r="L427" s="4"/>
      <c r="M427" s="4"/>
      <c r="N427" s="4"/>
    </row>
    <row r="428" spans="12:14" ht="13" x14ac:dyDescent="0.15">
      <c r="L428" s="4"/>
      <c r="M428" s="4"/>
      <c r="N428" s="4"/>
    </row>
    <row r="429" spans="12:14" ht="13" x14ac:dyDescent="0.15">
      <c r="L429" s="4"/>
      <c r="M429" s="4"/>
      <c r="N429" s="4"/>
    </row>
    <row r="430" spans="12:14" ht="13" x14ac:dyDescent="0.15">
      <c r="L430" s="4"/>
      <c r="M430" s="4"/>
      <c r="N430" s="4"/>
    </row>
    <row r="431" spans="12:14" ht="13" x14ac:dyDescent="0.15">
      <c r="L431" s="4"/>
      <c r="M431" s="4"/>
      <c r="N431" s="4"/>
    </row>
    <row r="432" spans="12:14" ht="13" x14ac:dyDescent="0.15">
      <c r="L432" s="4"/>
      <c r="M432" s="4"/>
      <c r="N432" s="4"/>
    </row>
    <row r="433" spans="12:14" ht="13" x14ac:dyDescent="0.15">
      <c r="L433" s="4"/>
      <c r="M433" s="4"/>
      <c r="N433" s="4"/>
    </row>
    <row r="434" spans="12:14" ht="13" x14ac:dyDescent="0.15">
      <c r="L434" s="4"/>
      <c r="M434" s="4"/>
      <c r="N434" s="4"/>
    </row>
    <row r="435" spans="12:14" ht="13" x14ac:dyDescent="0.15">
      <c r="L435" s="4"/>
      <c r="M435" s="4"/>
      <c r="N435" s="4"/>
    </row>
    <row r="436" spans="12:14" ht="13" x14ac:dyDescent="0.15">
      <c r="L436" s="4"/>
      <c r="M436" s="4"/>
      <c r="N436" s="4"/>
    </row>
    <row r="437" spans="12:14" ht="13" x14ac:dyDescent="0.15">
      <c r="L437" s="4"/>
      <c r="M437" s="4"/>
      <c r="N437" s="4"/>
    </row>
    <row r="438" spans="12:14" ht="13" x14ac:dyDescent="0.15">
      <c r="L438" s="4"/>
      <c r="M438" s="4"/>
      <c r="N438" s="4"/>
    </row>
    <row r="439" spans="12:14" ht="13" x14ac:dyDescent="0.15">
      <c r="L439" s="4"/>
      <c r="M439" s="4"/>
      <c r="N439" s="4"/>
    </row>
    <row r="440" spans="12:14" ht="13" x14ac:dyDescent="0.15">
      <c r="L440" s="4"/>
      <c r="M440" s="4"/>
      <c r="N440" s="4"/>
    </row>
    <row r="441" spans="12:14" ht="13" x14ac:dyDescent="0.15">
      <c r="L441" s="4"/>
      <c r="M441" s="4"/>
      <c r="N441" s="4"/>
    </row>
    <row r="442" spans="12:14" ht="13" x14ac:dyDescent="0.15">
      <c r="L442" s="4"/>
      <c r="M442" s="4"/>
      <c r="N442" s="4"/>
    </row>
    <row r="443" spans="12:14" ht="13" x14ac:dyDescent="0.15">
      <c r="L443" s="4"/>
      <c r="M443" s="4"/>
      <c r="N443" s="4"/>
    </row>
    <row r="444" spans="12:14" ht="13" x14ac:dyDescent="0.15">
      <c r="L444" s="4"/>
      <c r="M444" s="4"/>
      <c r="N444" s="4"/>
    </row>
    <row r="445" spans="12:14" ht="13" x14ac:dyDescent="0.15">
      <c r="L445" s="4"/>
      <c r="M445" s="4"/>
      <c r="N445" s="4"/>
    </row>
    <row r="446" spans="12:14" ht="13" x14ac:dyDescent="0.15">
      <c r="L446" s="4"/>
      <c r="M446" s="4"/>
      <c r="N446" s="4"/>
    </row>
    <row r="447" spans="12:14" ht="13" x14ac:dyDescent="0.15">
      <c r="L447" s="4"/>
      <c r="M447" s="4"/>
      <c r="N447" s="4"/>
    </row>
    <row r="448" spans="12:14" ht="13" x14ac:dyDescent="0.15">
      <c r="L448" s="4"/>
      <c r="M448" s="4"/>
      <c r="N448" s="4"/>
    </row>
    <row r="449" spans="12:14" ht="13" x14ac:dyDescent="0.15">
      <c r="L449" s="4"/>
      <c r="M449" s="4"/>
      <c r="N449" s="4"/>
    </row>
    <row r="450" spans="12:14" ht="13" x14ac:dyDescent="0.15">
      <c r="L450" s="4"/>
      <c r="M450" s="4"/>
      <c r="N450" s="4"/>
    </row>
    <row r="451" spans="12:14" ht="13" x14ac:dyDescent="0.15">
      <c r="L451" s="4"/>
      <c r="M451" s="4"/>
      <c r="N451" s="4"/>
    </row>
    <row r="452" spans="12:14" ht="13" x14ac:dyDescent="0.15">
      <c r="L452" s="4"/>
      <c r="M452" s="4"/>
      <c r="N452" s="4"/>
    </row>
    <row r="453" spans="12:14" ht="13" x14ac:dyDescent="0.15">
      <c r="L453" s="4"/>
      <c r="M453" s="4"/>
      <c r="N453" s="4"/>
    </row>
    <row r="454" spans="12:14" ht="13" x14ac:dyDescent="0.15">
      <c r="L454" s="4"/>
      <c r="M454" s="4"/>
      <c r="N454" s="4"/>
    </row>
    <row r="455" spans="12:14" ht="13" x14ac:dyDescent="0.15">
      <c r="L455" s="4"/>
      <c r="M455" s="4"/>
      <c r="N455" s="4"/>
    </row>
    <row r="456" spans="12:14" ht="13" x14ac:dyDescent="0.15">
      <c r="L456" s="4"/>
      <c r="M456" s="4"/>
      <c r="N456" s="4"/>
    </row>
    <row r="457" spans="12:14" ht="13" x14ac:dyDescent="0.15">
      <c r="L457" s="4"/>
      <c r="M457" s="4"/>
      <c r="N457" s="4"/>
    </row>
    <row r="458" spans="12:14" ht="13" x14ac:dyDescent="0.15">
      <c r="L458" s="4"/>
      <c r="M458" s="4"/>
      <c r="N458" s="4"/>
    </row>
    <row r="459" spans="12:14" ht="13" x14ac:dyDescent="0.15">
      <c r="L459" s="4"/>
      <c r="M459" s="4"/>
      <c r="N459" s="4"/>
    </row>
    <row r="460" spans="12:14" ht="13" x14ac:dyDescent="0.15">
      <c r="L460" s="4"/>
      <c r="M460" s="4"/>
      <c r="N460" s="4"/>
    </row>
    <row r="461" spans="12:14" ht="13" x14ac:dyDescent="0.15">
      <c r="L461" s="4"/>
      <c r="M461" s="4"/>
      <c r="N461" s="4"/>
    </row>
    <row r="462" spans="12:14" ht="13" x14ac:dyDescent="0.15">
      <c r="L462" s="4"/>
      <c r="M462" s="4"/>
      <c r="N462" s="4"/>
    </row>
    <row r="463" spans="12:14" ht="13" x14ac:dyDescent="0.15">
      <c r="L463" s="4"/>
      <c r="M463" s="4"/>
      <c r="N463" s="4"/>
    </row>
    <row r="464" spans="12:14" ht="13" x14ac:dyDescent="0.15">
      <c r="L464" s="4"/>
      <c r="M464" s="4"/>
      <c r="N464" s="4"/>
    </row>
    <row r="465" spans="12:14" ht="13" x14ac:dyDescent="0.15">
      <c r="L465" s="4"/>
      <c r="M465" s="4"/>
      <c r="N465" s="4"/>
    </row>
    <row r="466" spans="12:14" ht="13" x14ac:dyDescent="0.15">
      <c r="L466" s="4"/>
      <c r="M466" s="4"/>
      <c r="N466" s="4"/>
    </row>
    <row r="467" spans="12:14" ht="13" x14ac:dyDescent="0.15">
      <c r="L467" s="4"/>
      <c r="M467" s="4"/>
      <c r="N467" s="4"/>
    </row>
    <row r="468" spans="12:14" ht="13" x14ac:dyDescent="0.15">
      <c r="L468" s="4"/>
      <c r="M468" s="4"/>
      <c r="N468" s="4"/>
    </row>
    <row r="469" spans="12:14" ht="13" x14ac:dyDescent="0.15">
      <c r="L469" s="4"/>
      <c r="M469" s="4"/>
      <c r="N469" s="4"/>
    </row>
    <row r="470" spans="12:14" ht="13" x14ac:dyDescent="0.15">
      <c r="L470" s="4"/>
      <c r="M470" s="4"/>
      <c r="N470" s="4"/>
    </row>
    <row r="471" spans="12:14" ht="13" x14ac:dyDescent="0.15">
      <c r="L471" s="4"/>
      <c r="M471" s="4"/>
      <c r="N471" s="4"/>
    </row>
    <row r="472" spans="12:14" ht="13" x14ac:dyDescent="0.15">
      <c r="L472" s="4"/>
      <c r="M472" s="4"/>
      <c r="N472" s="4"/>
    </row>
    <row r="473" spans="12:14" ht="13" x14ac:dyDescent="0.15">
      <c r="L473" s="4"/>
      <c r="M473" s="4"/>
      <c r="N473" s="4"/>
    </row>
    <row r="474" spans="12:14" ht="13" x14ac:dyDescent="0.15">
      <c r="L474" s="4"/>
      <c r="M474" s="4"/>
      <c r="N474" s="4"/>
    </row>
    <row r="475" spans="12:14" ht="13" x14ac:dyDescent="0.15">
      <c r="L475" s="4"/>
      <c r="M475" s="4"/>
      <c r="N475" s="4"/>
    </row>
    <row r="476" spans="12:14" ht="13" x14ac:dyDescent="0.15">
      <c r="L476" s="4"/>
      <c r="M476" s="4"/>
      <c r="N476" s="4"/>
    </row>
    <row r="477" spans="12:14" ht="13" x14ac:dyDescent="0.15">
      <c r="L477" s="4"/>
      <c r="M477" s="4"/>
      <c r="N477" s="4"/>
    </row>
    <row r="478" spans="12:14" ht="13" x14ac:dyDescent="0.15">
      <c r="L478" s="4"/>
      <c r="M478" s="4"/>
      <c r="N478" s="4"/>
    </row>
    <row r="479" spans="12:14" ht="13" x14ac:dyDescent="0.15">
      <c r="L479" s="4"/>
      <c r="M479" s="4"/>
      <c r="N479" s="4"/>
    </row>
    <row r="480" spans="12:14" ht="13" x14ac:dyDescent="0.15">
      <c r="L480" s="4"/>
      <c r="M480" s="4"/>
      <c r="N480" s="4"/>
    </row>
    <row r="481" spans="12:14" ht="13" x14ac:dyDescent="0.15">
      <c r="L481" s="4"/>
      <c r="M481" s="4"/>
      <c r="N481" s="4"/>
    </row>
    <row r="482" spans="12:14" ht="13" x14ac:dyDescent="0.15">
      <c r="L482" s="4"/>
      <c r="M482" s="4"/>
      <c r="N482" s="4"/>
    </row>
    <row r="483" spans="12:14" ht="13" x14ac:dyDescent="0.15">
      <c r="L483" s="4"/>
      <c r="M483" s="4"/>
      <c r="N483" s="4"/>
    </row>
    <row r="484" spans="12:14" ht="13" x14ac:dyDescent="0.15">
      <c r="L484" s="4"/>
      <c r="M484" s="4"/>
      <c r="N484" s="4"/>
    </row>
    <row r="485" spans="12:14" ht="13" x14ac:dyDescent="0.15">
      <c r="L485" s="4"/>
      <c r="M485" s="4"/>
      <c r="N485" s="4"/>
    </row>
    <row r="486" spans="12:14" ht="13" x14ac:dyDescent="0.15">
      <c r="L486" s="4"/>
      <c r="M486" s="4"/>
      <c r="N486" s="4"/>
    </row>
    <row r="487" spans="12:14" ht="13" x14ac:dyDescent="0.15">
      <c r="L487" s="4"/>
      <c r="M487" s="4"/>
      <c r="N487" s="4"/>
    </row>
    <row r="488" spans="12:14" ht="13" x14ac:dyDescent="0.15">
      <c r="L488" s="4"/>
      <c r="M488" s="4"/>
      <c r="N488" s="4"/>
    </row>
    <row r="489" spans="12:14" ht="13" x14ac:dyDescent="0.15">
      <c r="L489" s="4"/>
      <c r="M489" s="4"/>
      <c r="N489" s="4"/>
    </row>
    <row r="490" spans="12:14" ht="13" x14ac:dyDescent="0.15">
      <c r="L490" s="4"/>
      <c r="M490" s="4"/>
      <c r="N490" s="4"/>
    </row>
    <row r="491" spans="12:14" ht="13" x14ac:dyDescent="0.15">
      <c r="L491" s="4"/>
      <c r="M491" s="4"/>
      <c r="N491" s="4"/>
    </row>
    <row r="492" spans="12:14" ht="13" x14ac:dyDescent="0.15">
      <c r="L492" s="4"/>
      <c r="M492" s="4"/>
      <c r="N492" s="4"/>
    </row>
    <row r="493" spans="12:14" ht="13" x14ac:dyDescent="0.15">
      <c r="L493" s="4"/>
      <c r="M493" s="4"/>
      <c r="N493" s="4"/>
    </row>
    <row r="494" spans="12:14" ht="13" x14ac:dyDescent="0.15">
      <c r="L494" s="4"/>
      <c r="M494" s="4"/>
      <c r="N494" s="4"/>
    </row>
    <row r="495" spans="12:14" ht="13" x14ac:dyDescent="0.15">
      <c r="L495" s="4"/>
      <c r="M495" s="4"/>
      <c r="N495" s="4"/>
    </row>
    <row r="496" spans="12:14" ht="13" x14ac:dyDescent="0.15">
      <c r="L496" s="4"/>
      <c r="M496" s="4"/>
      <c r="N496" s="4"/>
    </row>
    <row r="497" spans="12:14" ht="13" x14ac:dyDescent="0.15">
      <c r="L497" s="4"/>
      <c r="M497" s="4"/>
      <c r="N497" s="4"/>
    </row>
    <row r="498" spans="12:14" ht="13" x14ac:dyDescent="0.15">
      <c r="L498" s="4"/>
      <c r="M498" s="4"/>
      <c r="N498" s="4"/>
    </row>
    <row r="499" spans="12:14" ht="13" x14ac:dyDescent="0.15">
      <c r="L499" s="4"/>
      <c r="M499" s="4"/>
      <c r="N499" s="4"/>
    </row>
    <row r="500" spans="12:14" ht="13" x14ac:dyDescent="0.15">
      <c r="L500" s="4"/>
      <c r="M500" s="4"/>
      <c r="N500" s="4"/>
    </row>
    <row r="501" spans="12:14" ht="13" x14ac:dyDescent="0.15">
      <c r="L501" s="4"/>
      <c r="M501" s="4"/>
      <c r="N501" s="4"/>
    </row>
    <row r="502" spans="12:14" ht="13" x14ac:dyDescent="0.15">
      <c r="L502" s="4"/>
      <c r="M502" s="4"/>
      <c r="N502" s="4"/>
    </row>
    <row r="503" spans="12:14" ht="13" x14ac:dyDescent="0.15">
      <c r="L503" s="4"/>
      <c r="M503" s="4"/>
      <c r="N503" s="4"/>
    </row>
    <row r="504" spans="12:14" ht="13" x14ac:dyDescent="0.15">
      <c r="L504" s="4"/>
      <c r="M504" s="4"/>
      <c r="N504" s="4"/>
    </row>
    <row r="505" spans="12:14" ht="13" x14ac:dyDescent="0.15">
      <c r="L505" s="4"/>
      <c r="M505" s="4"/>
      <c r="N505" s="4"/>
    </row>
    <row r="506" spans="12:14" ht="13" x14ac:dyDescent="0.15">
      <c r="L506" s="4"/>
      <c r="M506" s="4"/>
      <c r="N506" s="4"/>
    </row>
    <row r="507" spans="12:14" ht="13" x14ac:dyDescent="0.15">
      <c r="L507" s="4"/>
      <c r="M507" s="4"/>
      <c r="N507" s="4"/>
    </row>
    <row r="508" spans="12:14" ht="13" x14ac:dyDescent="0.15">
      <c r="L508" s="4"/>
      <c r="M508" s="4"/>
      <c r="N508" s="4"/>
    </row>
    <row r="509" spans="12:14" ht="13" x14ac:dyDescent="0.15">
      <c r="L509" s="4"/>
      <c r="M509" s="4"/>
      <c r="N509" s="4"/>
    </row>
    <row r="510" spans="12:14" ht="13" x14ac:dyDescent="0.15">
      <c r="L510" s="4"/>
      <c r="M510" s="4"/>
      <c r="N510" s="4"/>
    </row>
    <row r="511" spans="12:14" ht="13" x14ac:dyDescent="0.15">
      <c r="L511" s="4"/>
      <c r="M511" s="4"/>
      <c r="N511" s="4"/>
    </row>
    <row r="512" spans="12:14" ht="13" x14ac:dyDescent="0.15">
      <c r="L512" s="4"/>
      <c r="M512" s="4"/>
      <c r="N512" s="4"/>
    </row>
    <row r="513" spans="12:14" ht="13" x14ac:dyDescent="0.15">
      <c r="L513" s="4"/>
      <c r="M513" s="4"/>
      <c r="N513" s="4"/>
    </row>
    <row r="514" spans="12:14" ht="13" x14ac:dyDescent="0.15">
      <c r="L514" s="4"/>
      <c r="M514" s="4"/>
      <c r="N514" s="4"/>
    </row>
    <row r="515" spans="12:14" ht="13" x14ac:dyDescent="0.15">
      <c r="L515" s="4"/>
      <c r="M515" s="4"/>
      <c r="N515" s="4"/>
    </row>
    <row r="516" spans="12:14" ht="13" x14ac:dyDescent="0.15">
      <c r="L516" s="4"/>
      <c r="M516" s="4"/>
      <c r="N516" s="4"/>
    </row>
    <row r="517" spans="12:14" ht="13" x14ac:dyDescent="0.15">
      <c r="L517" s="4"/>
      <c r="M517" s="4"/>
      <c r="N517" s="4"/>
    </row>
    <row r="518" spans="12:14" ht="13" x14ac:dyDescent="0.15">
      <c r="L518" s="4"/>
      <c r="M518" s="4"/>
      <c r="N518" s="4"/>
    </row>
    <row r="519" spans="12:14" ht="13" x14ac:dyDescent="0.15">
      <c r="L519" s="4"/>
      <c r="M519" s="4"/>
      <c r="N519" s="4"/>
    </row>
    <row r="520" spans="12:14" ht="13" x14ac:dyDescent="0.15">
      <c r="L520" s="4"/>
      <c r="M520" s="4"/>
      <c r="N520" s="4"/>
    </row>
    <row r="521" spans="12:14" ht="13" x14ac:dyDescent="0.15">
      <c r="L521" s="4"/>
      <c r="M521" s="4"/>
      <c r="N521" s="4"/>
    </row>
    <row r="522" spans="12:14" ht="13" x14ac:dyDescent="0.15">
      <c r="L522" s="4"/>
      <c r="M522" s="4"/>
      <c r="N522" s="4"/>
    </row>
    <row r="523" spans="12:14" ht="13" x14ac:dyDescent="0.15">
      <c r="L523" s="4"/>
      <c r="M523" s="4"/>
      <c r="N523" s="4"/>
    </row>
    <row r="524" spans="12:14" ht="13" x14ac:dyDescent="0.15">
      <c r="L524" s="4"/>
      <c r="M524" s="4"/>
      <c r="N524" s="4"/>
    </row>
    <row r="525" spans="12:14" ht="13" x14ac:dyDescent="0.15">
      <c r="L525" s="4"/>
      <c r="M525" s="4"/>
      <c r="N525" s="4"/>
    </row>
    <row r="526" spans="12:14" ht="13" x14ac:dyDescent="0.15">
      <c r="L526" s="4"/>
      <c r="M526" s="4"/>
      <c r="N526" s="4"/>
    </row>
    <row r="527" spans="12:14" ht="13" x14ac:dyDescent="0.15">
      <c r="L527" s="4"/>
      <c r="M527" s="4"/>
      <c r="N527" s="4"/>
    </row>
    <row r="528" spans="12:14" ht="13" x14ac:dyDescent="0.15">
      <c r="L528" s="4"/>
      <c r="M528" s="4"/>
      <c r="N528" s="4"/>
    </row>
    <row r="529" spans="12:14" ht="13" x14ac:dyDescent="0.15">
      <c r="L529" s="4"/>
      <c r="M529" s="4"/>
      <c r="N529" s="4"/>
    </row>
    <row r="530" spans="12:14" ht="13" x14ac:dyDescent="0.15">
      <c r="L530" s="4"/>
      <c r="M530" s="4"/>
      <c r="N530" s="4"/>
    </row>
    <row r="531" spans="12:14" ht="13" x14ac:dyDescent="0.15">
      <c r="L531" s="4"/>
      <c r="M531" s="4"/>
      <c r="N531" s="4"/>
    </row>
    <row r="532" spans="12:14" ht="13" x14ac:dyDescent="0.15">
      <c r="L532" s="4"/>
      <c r="M532" s="4"/>
      <c r="N532" s="4"/>
    </row>
    <row r="533" spans="12:14" ht="13" x14ac:dyDescent="0.15">
      <c r="L533" s="4"/>
      <c r="M533" s="4"/>
      <c r="N533" s="4"/>
    </row>
    <row r="534" spans="12:14" ht="13" x14ac:dyDescent="0.15">
      <c r="L534" s="4"/>
      <c r="M534" s="4"/>
      <c r="N534" s="4"/>
    </row>
    <row r="535" spans="12:14" ht="13" x14ac:dyDescent="0.15">
      <c r="L535" s="4"/>
      <c r="M535" s="4"/>
      <c r="N535" s="4"/>
    </row>
    <row r="536" spans="12:14" ht="13" x14ac:dyDescent="0.15">
      <c r="L536" s="4"/>
      <c r="M536" s="4"/>
      <c r="N536" s="4"/>
    </row>
    <row r="537" spans="12:14" ht="13" x14ac:dyDescent="0.15">
      <c r="L537" s="4"/>
      <c r="M537" s="4"/>
      <c r="N537" s="4"/>
    </row>
    <row r="538" spans="12:14" ht="13" x14ac:dyDescent="0.15">
      <c r="L538" s="4"/>
      <c r="M538" s="4"/>
      <c r="N538" s="4"/>
    </row>
    <row r="539" spans="12:14" ht="13" x14ac:dyDescent="0.15">
      <c r="L539" s="4"/>
      <c r="M539" s="4"/>
      <c r="N539" s="4"/>
    </row>
    <row r="540" spans="12:14" ht="13" x14ac:dyDescent="0.15">
      <c r="L540" s="4"/>
      <c r="M540" s="4"/>
      <c r="N540" s="4"/>
    </row>
    <row r="541" spans="12:14" ht="13" x14ac:dyDescent="0.15">
      <c r="L541" s="4"/>
      <c r="M541" s="4"/>
      <c r="N541" s="4"/>
    </row>
    <row r="542" spans="12:14" ht="13" x14ac:dyDescent="0.15">
      <c r="L542" s="4"/>
      <c r="M542" s="4"/>
      <c r="N542" s="4"/>
    </row>
    <row r="543" spans="12:14" ht="13" x14ac:dyDescent="0.15">
      <c r="L543" s="4"/>
      <c r="M543" s="4"/>
      <c r="N543" s="4"/>
    </row>
    <row r="544" spans="12:14" ht="13" x14ac:dyDescent="0.15">
      <c r="L544" s="4"/>
      <c r="M544" s="4"/>
      <c r="N544" s="4"/>
    </row>
    <row r="545" spans="12:14" ht="13" x14ac:dyDescent="0.15">
      <c r="L545" s="4"/>
      <c r="M545" s="4"/>
      <c r="N545" s="4"/>
    </row>
    <row r="546" spans="12:14" ht="13" x14ac:dyDescent="0.15">
      <c r="L546" s="4"/>
      <c r="M546" s="4"/>
      <c r="N546" s="4"/>
    </row>
    <row r="547" spans="12:14" ht="13" x14ac:dyDescent="0.15">
      <c r="L547" s="4"/>
      <c r="M547" s="4"/>
      <c r="N547" s="4"/>
    </row>
    <row r="548" spans="12:14" ht="13" x14ac:dyDescent="0.15">
      <c r="L548" s="4"/>
      <c r="M548" s="4"/>
      <c r="N548" s="4"/>
    </row>
    <row r="549" spans="12:14" ht="13" x14ac:dyDescent="0.15">
      <c r="L549" s="4"/>
      <c r="M549" s="4"/>
      <c r="N549" s="4"/>
    </row>
    <row r="550" spans="12:14" ht="13" x14ac:dyDescent="0.15">
      <c r="L550" s="4"/>
      <c r="M550" s="4"/>
      <c r="N550" s="4"/>
    </row>
    <row r="551" spans="12:14" ht="13" x14ac:dyDescent="0.15">
      <c r="L551" s="4"/>
      <c r="M551" s="4"/>
      <c r="N551" s="4"/>
    </row>
    <row r="552" spans="12:14" ht="13" x14ac:dyDescent="0.15">
      <c r="L552" s="4"/>
      <c r="M552" s="4"/>
      <c r="N552" s="4"/>
    </row>
    <row r="553" spans="12:14" ht="13" x14ac:dyDescent="0.15">
      <c r="L553" s="4"/>
      <c r="M553" s="4"/>
      <c r="N553" s="4"/>
    </row>
    <row r="554" spans="12:14" ht="13" x14ac:dyDescent="0.15">
      <c r="L554" s="4"/>
      <c r="M554" s="4"/>
      <c r="N554" s="4"/>
    </row>
    <row r="555" spans="12:14" ht="13" x14ac:dyDescent="0.15">
      <c r="L555" s="4"/>
      <c r="M555" s="4"/>
      <c r="N555" s="4"/>
    </row>
    <row r="556" spans="12:14" ht="13" x14ac:dyDescent="0.15">
      <c r="L556" s="4"/>
      <c r="M556" s="4"/>
      <c r="N556" s="4"/>
    </row>
    <row r="557" spans="12:14" ht="13" x14ac:dyDescent="0.15">
      <c r="L557" s="4"/>
      <c r="M557" s="4"/>
      <c r="N557" s="4"/>
    </row>
    <row r="558" spans="12:14" ht="13" x14ac:dyDescent="0.15">
      <c r="L558" s="4"/>
      <c r="M558" s="4"/>
      <c r="N558" s="4"/>
    </row>
    <row r="559" spans="12:14" ht="13" x14ac:dyDescent="0.15">
      <c r="L559" s="4"/>
      <c r="M559" s="4"/>
      <c r="N559" s="4"/>
    </row>
    <row r="560" spans="12:14" ht="13" x14ac:dyDescent="0.15">
      <c r="L560" s="4"/>
      <c r="M560" s="4"/>
      <c r="N560" s="4"/>
    </row>
    <row r="561" spans="12:14" ht="13" x14ac:dyDescent="0.15">
      <c r="L561" s="4"/>
      <c r="M561" s="4"/>
      <c r="N561" s="4"/>
    </row>
    <row r="562" spans="12:14" ht="13" x14ac:dyDescent="0.15">
      <c r="L562" s="4"/>
      <c r="M562" s="4"/>
      <c r="N562" s="4"/>
    </row>
    <row r="563" spans="12:14" ht="13" x14ac:dyDescent="0.15">
      <c r="L563" s="4"/>
      <c r="M563" s="4"/>
      <c r="N563" s="4"/>
    </row>
    <row r="564" spans="12:14" ht="13" x14ac:dyDescent="0.15">
      <c r="L564" s="4"/>
      <c r="M564" s="4"/>
      <c r="N564" s="4"/>
    </row>
    <row r="565" spans="12:14" ht="13" x14ac:dyDescent="0.15">
      <c r="L565" s="4"/>
      <c r="M565" s="4"/>
      <c r="N565" s="4"/>
    </row>
    <row r="566" spans="12:14" ht="13" x14ac:dyDescent="0.15">
      <c r="L566" s="4"/>
      <c r="M566" s="4"/>
      <c r="N566" s="4"/>
    </row>
    <row r="567" spans="12:14" ht="13" x14ac:dyDescent="0.15">
      <c r="L567" s="4"/>
      <c r="M567" s="4"/>
      <c r="N567" s="4"/>
    </row>
    <row r="568" spans="12:14" ht="13" x14ac:dyDescent="0.15">
      <c r="L568" s="4"/>
      <c r="M568" s="4"/>
      <c r="N568" s="4"/>
    </row>
    <row r="569" spans="12:14" ht="13" x14ac:dyDescent="0.15">
      <c r="L569" s="4"/>
      <c r="M569" s="4"/>
      <c r="N569" s="4"/>
    </row>
    <row r="570" spans="12:14" ht="13" x14ac:dyDescent="0.15">
      <c r="L570" s="4"/>
      <c r="M570" s="4"/>
      <c r="N570" s="4"/>
    </row>
    <row r="571" spans="12:14" ht="13" x14ac:dyDescent="0.15">
      <c r="L571" s="4"/>
      <c r="M571" s="4"/>
      <c r="N571" s="4"/>
    </row>
    <row r="572" spans="12:14" ht="13" x14ac:dyDescent="0.15">
      <c r="L572" s="4"/>
      <c r="M572" s="4"/>
      <c r="N572" s="4"/>
    </row>
    <row r="573" spans="12:14" ht="13" x14ac:dyDescent="0.15">
      <c r="L573" s="4"/>
      <c r="M573" s="4"/>
      <c r="N573" s="4"/>
    </row>
    <row r="574" spans="12:14" ht="13" x14ac:dyDescent="0.15">
      <c r="L574" s="4"/>
      <c r="M574" s="4"/>
      <c r="N574" s="4"/>
    </row>
    <row r="575" spans="12:14" ht="13" x14ac:dyDescent="0.15">
      <c r="L575" s="4"/>
      <c r="M575" s="4"/>
      <c r="N575" s="4"/>
    </row>
    <row r="576" spans="12:14" ht="13" x14ac:dyDescent="0.15">
      <c r="L576" s="4"/>
      <c r="M576" s="4"/>
      <c r="N576" s="4"/>
    </row>
    <row r="577" spans="12:14" ht="13" x14ac:dyDescent="0.15">
      <c r="L577" s="4"/>
      <c r="M577" s="4"/>
      <c r="N577" s="4"/>
    </row>
    <row r="578" spans="12:14" ht="13" x14ac:dyDescent="0.15">
      <c r="L578" s="4"/>
      <c r="M578" s="4"/>
      <c r="N578" s="4"/>
    </row>
    <row r="579" spans="12:14" ht="13" x14ac:dyDescent="0.15">
      <c r="L579" s="4"/>
      <c r="M579" s="4"/>
      <c r="N579" s="4"/>
    </row>
    <row r="580" spans="12:14" ht="13" x14ac:dyDescent="0.15">
      <c r="L580" s="4"/>
      <c r="M580" s="4"/>
      <c r="N580" s="4"/>
    </row>
    <row r="581" spans="12:14" ht="13" x14ac:dyDescent="0.15">
      <c r="L581" s="4"/>
      <c r="M581" s="4"/>
      <c r="N581" s="4"/>
    </row>
    <row r="582" spans="12:14" ht="13" x14ac:dyDescent="0.15">
      <c r="L582" s="4"/>
      <c r="M582" s="4"/>
      <c r="N582" s="4"/>
    </row>
    <row r="583" spans="12:14" ht="13" x14ac:dyDescent="0.15">
      <c r="L583" s="4"/>
      <c r="M583" s="4"/>
      <c r="N583" s="4"/>
    </row>
    <row r="584" spans="12:14" ht="13" x14ac:dyDescent="0.15">
      <c r="L584" s="4"/>
      <c r="M584" s="4"/>
      <c r="N584" s="4"/>
    </row>
    <row r="585" spans="12:14" ht="13" x14ac:dyDescent="0.15">
      <c r="L585" s="4"/>
      <c r="M585" s="4"/>
      <c r="N585" s="4"/>
    </row>
    <row r="586" spans="12:14" ht="13" x14ac:dyDescent="0.15">
      <c r="L586" s="4"/>
      <c r="M586" s="4"/>
      <c r="N586" s="4"/>
    </row>
    <row r="587" spans="12:14" ht="13" x14ac:dyDescent="0.15">
      <c r="L587" s="4"/>
      <c r="M587" s="4"/>
      <c r="N587" s="4"/>
    </row>
    <row r="588" spans="12:14" ht="13" x14ac:dyDescent="0.15">
      <c r="L588" s="4"/>
      <c r="M588" s="4"/>
      <c r="N588" s="4"/>
    </row>
    <row r="589" spans="12:14" ht="13" x14ac:dyDescent="0.15">
      <c r="L589" s="4"/>
      <c r="M589" s="4"/>
      <c r="N589" s="4"/>
    </row>
    <row r="590" spans="12:14" ht="13" x14ac:dyDescent="0.15">
      <c r="L590" s="4"/>
      <c r="M590" s="4"/>
      <c r="N590" s="4"/>
    </row>
    <row r="591" spans="12:14" ht="13" x14ac:dyDescent="0.15">
      <c r="L591" s="4"/>
      <c r="M591" s="4"/>
      <c r="N591" s="4"/>
    </row>
    <row r="592" spans="12:14" ht="13" x14ac:dyDescent="0.15">
      <c r="L592" s="4"/>
      <c r="M592" s="4"/>
      <c r="N592" s="4"/>
    </row>
    <row r="593" spans="12:14" ht="13" x14ac:dyDescent="0.15">
      <c r="L593" s="4"/>
      <c r="M593" s="4"/>
      <c r="N593" s="4"/>
    </row>
    <row r="594" spans="12:14" ht="13" x14ac:dyDescent="0.15">
      <c r="L594" s="4"/>
      <c r="M594" s="4"/>
      <c r="N594" s="4"/>
    </row>
    <row r="595" spans="12:14" ht="13" x14ac:dyDescent="0.15">
      <c r="L595" s="4"/>
      <c r="M595" s="4"/>
      <c r="N595" s="4"/>
    </row>
    <row r="596" spans="12:14" ht="13" x14ac:dyDescent="0.15">
      <c r="L596" s="4"/>
      <c r="M596" s="4"/>
      <c r="N596" s="4"/>
    </row>
    <row r="597" spans="12:14" ht="13" x14ac:dyDescent="0.15">
      <c r="L597" s="4"/>
      <c r="M597" s="4"/>
      <c r="N597" s="4"/>
    </row>
    <row r="598" spans="12:14" ht="13" x14ac:dyDescent="0.15">
      <c r="L598" s="4"/>
      <c r="M598" s="4"/>
      <c r="N598" s="4"/>
    </row>
    <row r="599" spans="12:14" ht="13" x14ac:dyDescent="0.15">
      <c r="L599" s="4"/>
      <c r="M599" s="4"/>
      <c r="N599" s="4"/>
    </row>
    <row r="600" spans="12:14" ht="13" x14ac:dyDescent="0.15">
      <c r="L600" s="4"/>
      <c r="M600" s="4"/>
      <c r="N600" s="4"/>
    </row>
    <row r="601" spans="12:14" ht="13" x14ac:dyDescent="0.15">
      <c r="L601" s="4"/>
      <c r="M601" s="4"/>
      <c r="N601" s="4"/>
    </row>
    <row r="602" spans="12:14" ht="13" x14ac:dyDescent="0.15">
      <c r="L602" s="4"/>
      <c r="M602" s="4"/>
      <c r="N602" s="4"/>
    </row>
    <row r="603" spans="12:14" ht="13" x14ac:dyDescent="0.15">
      <c r="L603" s="4"/>
      <c r="M603" s="4"/>
      <c r="N603" s="4"/>
    </row>
    <row r="604" spans="12:14" ht="13" x14ac:dyDescent="0.15">
      <c r="L604" s="4"/>
      <c r="M604" s="4"/>
      <c r="N604" s="4"/>
    </row>
    <row r="605" spans="12:14" ht="13" x14ac:dyDescent="0.15">
      <c r="L605" s="4"/>
      <c r="M605" s="4"/>
      <c r="N605" s="4"/>
    </row>
    <row r="606" spans="12:14" ht="13" x14ac:dyDescent="0.15">
      <c r="L606" s="4"/>
      <c r="M606" s="4"/>
      <c r="N606" s="4"/>
    </row>
    <row r="607" spans="12:14" ht="13" x14ac:dyDescent="0.15">
      <c r="L607" s="4"/>
      <c r="M607" s="4"/>
      <c r="N607" s="4"/>
    </row>
    <row r="608" spans="12:14" ht="13" x14ac:dyDescent="0.15">
      <c r="L608" s="4"/>
      <c r="M608" s="4"/>
      <c r="N608" s="4"/>
    </row>
    <row r="609" spans="12:14" ht="13" x14ac:dyDescent="0.15">
      <c r="L609" s="4"/>
      <c r="M609" s="4"/>
      <c r="N609" s="4"/>
    </row>
    <row r="610" spans="12:14" ht="13" x14ac:dyDescent="0.15">
      <c r="L610" s="4"/>
      <c r="M610" s="4"/>
      <c r="N610" s="4"/>
    </row>
    <row r="611" spans="12:14" ht="13" x14ac:dyDescent="0.15">
      <c r="L611" s="4"/>
      <c r="M611" s="4"/>
      <c r="N611" s="4"/>
    </row>
    <row r="612" spans="12:14" ht="13" x14ac:dyDescent="0.15">
      <c r="L612" s="4"/>
      <c r="M612" s="4"/>
      <c r="N612" s="4"/>
    </row>
    <row r="613" spans="12:14" ht="13" x14ac:dyDescent="0.15">
      <c r="L613" s="4"/>
      <c r="M613" s="4"/>
      <c r="N613" s="4"/>
    </row>
    <row r="614" spans="12:14" ht="13" x14ac:dyDescent="0.15">
      <c r="L614" s="4"/>
      <c r="M614" s="4"/>
      <c r="N614" s="4"/>
    </row>
    <row r="615" spans="12:14" ht="13" x14ac:dyDescent="0.15">
      <c r="L615" s="4"/>
      <c r="M615" s="4"/>
      <c r="N615" s="4"/>
    </row>
    <row r="616" spans="12:14" ht="13" x14ac:dyDescent="0.15">
      <c r="L616" s="4"/>
      <c r="M616" s="4"/>
      <c r="N616" s="4"/>
    </row>
    <row r="617" spans="12:14" ht="13" x14ac:dyDescent="0.15">
      <c r="L617" s="4"/>
      <c r="M617" s="4"/>
      <c r="N617" s="4"/>
    </row>
    <row r="618" spans="12:14" ht="13" x14ac:dyDescent="0.15">
      <c r="L618" s="4"/>
      <c r="M618" s="4"/>
      <c r="N618" s="4"/>
    </row>
    <row r="619" spans="12:14" ht="13" x14ac:dyDescent="0.15">
      <c r="L619" s="4"/>
      <c r="M619" s="4"/>
      <c r="N619" s="4"/>
    </row>
    <row r="620" spans="12:14" ht="13" x14ac:dyDescent="0.15">
      <c r="L620" s="4"/>
      <c r="M620" s="4"/>
      <c r="N620" s="4"/>
    </row>
    <row r="621" spans="12:14" ht="13" x14ac:dyDescent="0.15">
      <c r="L621" s="4"/>
      <c r="M621" s="4"/>
      <c r="N621" s="4"/>
    </row>
    <row r="622" spans="12:14" ht="13" x14ac:dyDescent="0.15">
      <c r="L622" s="4"/>
      <c r="M622" s="4"/>
      <c r="N622" s="4"/>
    </row>
    <row r="623" spans="12:14" ht="13" x14ac:dyDescent="0.15">
      <c r="L623" s="4"/>
      <c r="M623" s="4"/>
      <c r="N623" s="4"/>
    </row>
    <row r="624" spans="12:14" ht="13" x14ac:dyDescent="0.15">
      <c r="L624" s="4"/>
      <c r="M624" s="4"/>
      <c r="N624" s="4"/>
    </row>
    <row r="625" spans="12:14" ht="13" x14ac:dyDescent="0.15">
      <c r="L625" s="4"/>
      <c r="M625" s="4"/>
      <c r="N625" s="4"/>
    </row>
    <row r="626" spans="12:14" ht="13" x14ac:dyDescent="0.15">
      <c r="L626" s="4"/>
      <c r="M626" s="4"/>
      <c r="N626" s="4"/>
    </row>
    <row r="627" spans="12:14" ht="13" x14ac:dyDescent="0.15">
      <c r="L627" s="4"/>
      <c r="M627" s="4"/>
      <c r="N627" s="4"/>
    </row>
    <row r="628" spans="12:14" ht="13" x14ac:dyDescent="0.15">
      <c r="L628" s="4"/>
      <c r="M628" s="4"/>
      <c r="N628" s="4"/>
    </row>
    <row r="629" spans="12:14" ht="13" x14ac:dyDescent="0.15">
      <c r="L629" s="4"/>
      <c r="M629" s="4"/>
      <c r="N629" s="4"/>
    </row>
    <row r="630" spans="12:14" ht="13" x14ac:dyDescent="0.15">
      <c r="L630" s="4"/>
      <c r="M630" s="4"/>
      <c r="N630" s="4"/>
    </row>
    <row r="631" spans="12:14" ht="13" x14ac:dyDescent="0.15">
      <c r="L631" s="4"/>
      <c r="M631" s="4"/>
      <c r="N631" s="4"/>
    </row>
    <row r="632" spans="12:14" ht="13" x14ac:dyDescent="0.15">
      <c r="L632" s="4"/>
      <c r="M632" s="4"/>
      <c r="N632" s="4"/>
    </row>
    <row r="633" spans="12:14" ht="13" x14ac:dyDescent="0.15">
      <c r="L633" s="4"/>
      <c r="M633" s="4"/>
      <c r="N633" s="4"/>
    </row>
    <row r="634" spans="12:14" ht="13" x14ac:dyDescent="0.15">
      <c r="L634" s="4"/>
      <c r="M634" s="4"/>
      <c r="N634" s="4"/>
    </row>
    <row r="635" spans="12:14" ht="13" x14ac:dyDescent="0.15">
      <c r="L635" s="4"/>
      <c r="M635" s="4"/>
      <c r="N635" s="4"/>
    </row>
    <row r="636" spans="12:14" ht="13" x14ac:dyDescent="0.15">
      <c r="L636" s="4"/>
      <c r="M636" s="4"/>
      <c r="N636" s="4"/>
    </row>
    <row r="637" spans="12:14" ht="13" x14ac:dyDescent="0.15">
      <c r="L637" s="4"/>
      <c r="M637" s="4"/>
      <c r="N637" s="4"/>
    </row>
    <row r="638" spans="12:14" ht="13" x14ac:dyDescent="0.15">
      <c r="L638" s="4"/>
      <c r="M638" s="4"/>
      <c r="N638" s="4"/>
    </row>
    <row r="639" spans="12:14" ht="13" x14ac:dyDescent="0.15">
      <c r="L639" s="4"/>
      <c r="M639" s="4"/>
      <c r="N639" s="4"/>
    </row>
    <row r="640" spans="12:14" ht="13" x14ac:dyDescent="0.15">
      <c r="L640" s="4"/>
      <c r="M640" s="4"/>
      <c r="N640" s="4"/>
    </row>
    <row r="641" spans="12:14" ht="13" x14ac:dyDescent="0.15">
      <c r="L641" s="4"/>
      <c r="M641" s="4"/>
      <c r="N641" s="4"/>
    </row>
    <row r="642" spans="12:14" ht="13" x14ac:dyDescent="0.15">
      <c r="L642" s="4"/>
      <c r="M642" s="4"/>
      <c r="N642" s="4"/>
    </row>
    <row r="643" spans="12:14" ht="13" x14ac:dyDescent="0.15">
      <c r="L643" s="4"/>
      <c r="M643" s="4"/>
      <c r="N643" s="4"/>
    </row>
    <row r="644" spans="12:14" ht="13" x14ac:dyDescent="0.15">
      <c r="L644" s="4"/>
      <c r="M644" s="4"/>
      <c r="N644" s="4"/>
    </row>
    <row r="645" spans="12:14" ht="13" x14ac:dyDescent="0.15">
      <c r="L645" s="4"/>
      <c r="M645" s="4"/>
      <c r="N645" s="4"/>
    </row>
    <row r="646" spans="12:14" ht="13" x14ac:dyDescent="0.15">
      <c r="L646" s="4"/>
      <c r="M646" s="4"/>
      <c r="N646" s="4"/>
    </row>
    <row r="647" spans="12:14" ht="13" x14ac:dyDescent="0.15">
      <c r="L647" s="4"/>
      <c r="M647" s="4"/>
      <c r="N647" s="4"/>
    </row>
    <row r="648" spans="12:14" ht="13" x14ac:dyDescent="0.15">
      <c r="L648" s="4"/>
      <c r="M648" s="4"/>
      <c r="N648" s="4"/>
    </row>
    <row r="649" spans="12:14" ht="13" x14ac:dyDescent="0.15">
      <c r="L649" s="4"/>
      <c r="M649" s="4"/>
      <c r="N649" s="4"/>
    </row>
    <row r="650" spans="12:14" ht="13" x14ac:dyDescent="0.15">
      <c r="L650" s="4"/>
      <c r="M650" s="4"/>
      <c r="N650" s="4"/>
    </row>
    <row r="651" spans="12:14" ht="13" x14ac:dyDescent="0.15">
      <c r="L651" s="4"/>
      <c r="M651" s="4"/>
      <c r="N651" s="4"/>
    </row>
    <row r="652" spans="12:14" ht="13" x14ac:dyDescent="0.15">
      <c r="L652" s="4"/>
      <c r="M652" s="4"/>
      <c r="N652" s="4"/>
    </row>
    <row r="653" spans="12:14" ht="13" x14ac:dyDescent="0.15">
      <c r="L653" s="4"/>
      <c r="M653" s="4"/>
      <c r="N653" s="4"/>
    </row>
    <row r="654" spans="12:14" ht="13" x14ac:dyDescent="0.15">
      <c r="L654" s="4"/>
      <c r="M654" s="4"/>
      <c r="N654" s="4"/>
    </row>
    <row r="655" spans="12:14" ht="13" x14ac:dyDescent="0.15">
      <c r="L655" s="4"/>
      <c r="M655" s="4"/>
      <c r="N655" s="4"/>
    </row>
    <row r="656" spans="12:14" ht="13" x14ac:dyDescent="0.15">
      <c r="L656" s="4"/>
      <c r="M656" s="4"/>
      <c r="N656" s="4"/>
    </row>
    <row r="657" spans="12:14" ht="13" x14ac:dyDescent="0.15">
      <c r="L657" s="4"/>
      <c r="M657" s="4"/>
      <c r="N657" s="4"/>
    </row>
    <row r="658" spans="12:14" ht="13" x14ac:dyDescent="0.15">
      <c r="L658" s="4"/>
      <c r="M658" s="4"/>
      <c r="N658" s="4"/>
    </row>
    <row r="659" spans="12:14" ht="13" x14ac:dyDescent="0.15">
      <c r="L659" s="4"/>
      <c r="M659" s="4"/>
      <c r="N659" s="4"/>
    </row>
    <row r="660" spans="12:14" ht="13" x14ac:dyDescent="0.15">
      <c r="L660" s="4"/>
      <c r="M660" s="4"/>
      <c r="N660" s="4"/>
    </row>
    <row r="661" spans="12:14" ht="13" x14ac:dyDescent="0.15">
      <c r="L661" s="4"/>
      <c r="M661" s="4"/>
      <c r="N661" s="4"/>
    </row>
    <row r="662" spans="12:14" ht="13" x14ac:dyDescent="0.15">
      <c r="L662" s="4"/>
      <c r="M662" s="4"/>
      <c r="N662" s="4"/>
    </row>
    <row r="663" spans="12:14" ht="13" x14ac:dyDescent="0.15">
      <c r="L663" s="4"/>
      <c r="M663" s="4"/>
      <c r="N663" s="4"/>
    </row>
    <row r="664" spans="12:14" ht="13" x14ac:dyDescent="0.15">
      <c r="L664" s="4"/>
      <c r="M664" s="4"/>
      <c r="N664" s="4"/>
    </row>
    <row r="665" spans="12:14" ht="13" x14ac:dyDescent="0.15">
      <c r="L665" s="4"/>
      <c r="M665" s="4"/>
      <c r="N665" s="4"/>
    </row>
    <row r="666" spans="12:14" ht="13" x14ac:dyDescent="0.15">
      <c r="L666" s="4"/>
      <c r="M666" s="4"/>
      <c r="N666" s="4"/>
    </row>
    <row r="667" spans="12:14" ht="13" x14ac:dyDescent="0.15">
      <c r="L667" s="4"/>
      <c r="M667" s="4"/>
      <c r="N667" s="4"/>
    </row>
    <row r="668" spans="12:14" ht="13" x14ac:dyDescent="0.15">
      <c r="L668" s="4"/>
      <c r="M668" s="4"/>
      <c r="N668" s="4"/>
    </row>
    <row r="669" spans="12:14" ht="13" x14ac:dyDescent="0.15">
      <c r="L669" s="4"/>
      <c r="M669" s="4"/>
      <c r="N669" s="4"/>
    </row>
    <row r="670" spans="12:14" ht="13" x14ac:dyDescent="0.15">
      <c r="L670" s="4"/>
      <c r="M670" s="4"/>
      <c r="N670" s="4"/>
    </row>
    <row r="671" spans="12:14" ht="13" x14ac:dyDescent="0.15">
      <c r="L671" s="4"/>
      <c r="M671" s="4"/>
      <c r="N671" s="4"/>
    </row>
    <row r="672" spans="12:14" ht="13" x14ac:dyDescent="0.15">
      <c r="L672" s="4"/>
      <c r="M672" s="4"/>
      <c r="N672" s="4"/>
    </row>
    <row r="673" spans="12:14" ht="13" x14ac:dyDescent="0.15">
      <c r="L673" s="4"/>
      <c r="M673" s="4"/>
      <c r="N673" s="4"/>
    </row>
    <row r="674" spans="12:14" ht="13" x14ac:dyDescent="0.15">
      <c r="L674" s="4"/>
      <c r="M674" s="4"/>
      <c r="N674" s="4"/>
    </row>
    <row r="675" spans="12:14" ht="13" x14ac:dyDescent="0.15">
      <c r="L675" s="4"/>
      <c r="M675" s="4"/>
      <c r="N675" s="4"/>
    </row>
    <row r="676" spans="12:14" ht="13" x14ac:dyDescent="0.15">
      <c r="L676" s="4"/>
      <c r="M676" s="4"/>
      <c r="N676" s="4"/>
    </row>
    <row r="677" spans="12:14" ht="13" x14ac:dyDescent="0.15">
      <c r="L677" s="4"/>
      <c r="M677" s="4"/>
      <c r="N677" s="4"/>
    </row>
    <row r="678" spans="12:14" ht="13" x14ac:dyDescent="0.15">
      <c r="L678" s="4"/>
      <c r="M678" s="4"/>
      <c r="N678" s="4"/>
    </row>
    <row r="679" spans="12:14" ht="13" x14ac:dyDescent="0.15">
      <c r="L679" s="4"/>
      <c r="M679" s="4"/>
      <c r="N679" s="4"/>
    </row>
    <row r="680" spans="12:14" ht="13" x14ac:dyDescent="0.15">
      <c r="L680" s="4"/>
      <c r="M680" s="4"/>
      <c r="N680" s="4"/>
    </row>
    <row r="681" spans="12:14" ht="13" x14ac:dyDescent="0.15">
      <c r="L681" s="4"/>
      <c r="M681" s="4"/>
      <c r="N681" s="4"/>
    </row>
    <row r="682" spans="12:14" ht="13" x14ac:dyDescent="0.15">
      <c r="L682" s="4"/>
      <c r="M682" s="4"/>
      <c r="N682" s="4"/>
    </row>
    <row r="683" spans="12:14" ht="13" x14ac:dyDescent="0.15">
      <c r="L683" s="4"/>
      <c r="M683" s="4"/>
      <c r="N683" s="4"/>
    </row>
    <row r="684" spans="12:14" ht="13" x14ac:dyDescent="0.15">
      <c r="L684" s="4"/>
      <c r="M684" s="4"/>
      <c r="N684" s="4"/>
    </row>
    <row r="685" spans="12:14" ht="13" x14ac:dyDescent="0.15">
      <c r="L685" s="4"/>
      <c r="M685" s="4"/>
      <c r="N685" s="4"/>
    </row>
    <row r="686" spans="12:14" ht="13" x14ac:dyDescent="0.15">
      <c r="L686" s="4"/>
      <c r="M686" s="4"/>
      <c r="N686" s="4"/>
    </row>
    <row r="687" spans="12:14" ht="13" x14ac:dyDescent="0.15">
      <c r="L687" s="4"/>
      <c r="M687" s="4"/>
      <c r="N687" s="4"/>
    </row>
    <row r="688" spans="12:14" ht="13" x14ac:dyDescent="0.15">
      <c r="L688" s="4"/>
      <c r="M688" s="4"/>
      <c r="N688" s="4"/>
    </row>
    <row r="689" spans="12:14" ht="13" x14ac:dyDescent="0.15">
      <c r="L689" s="4"/>
      <c r="M689" s="4"/>
      <c r="N689" s="4"/>
    </row>
    <row r="690" spans="12:14" ht="13" x14ac:dyDescent="0.15">
      <c r="L690" s="4"/>
      <c r="M690" s="4"/>
      <c r="N690" s="4"/>
    </row>
    <row r="691" spans="12:14" ht="13" x14ac:dyDescent="0.15">
      <c r="L691" s="4"/>
      <c r="M691" s="4"/>
      <c r="N691" s="4"/>
    </row>
    <row r="692" spans="12:14" ht="13" x14ac:dyDescent="0.15">
      <c r="L692" s="4"/>
      <c r="M692" s="4"/>
      <c r="N692" s="4"/>
    </row>
    <row r="693" spans="12:14" ht="13" x14ac:dyDescent="0.15">
      <c r="L693" s="4"/>
      <c r="M693" s="4"/>
      <c r="N693" s="4"/>
    </row>
    <row r="694" spans="12:14" ht="13" x14ac:dyDescent="0.15">
      <c r="L694" s="4"/>
      <c r="M694" s="4"/>
      <c r="N694" s="4"/>
    </row>
    <row r="695" spans="12:14" ht="13" x14ac:dyDescent="0.15">
      <c r="L695" s="4"/>
      <c r="M695" s="4"/>
      <c r="N695" s="4"/>
    </row>
    <row r="696" spans="12:14" ht="13" x14ac:dyDescent="0.15">
      <c r="L696" s="4"/>
      <c r="M696" s="4"/>
      <c r="N696" s="4"/>
    </row>
    <row r="697" spans="12:14" ht="13" x14ac:dyDescent="0.15">
      <c r="L697" s="4"/>
      <c r="M697" s="4"/>
      <c r="N697" s="4"/>
    </row>
    <row r="698" spans="12:14" ht="13" x14ac:dyDescent="0.15">
      <c r="L698" s="4"/>
      <c r="M698" s="4"/>
      <c r="N698" s="4"/>
    </row>
    <row r="699" spans="12:14" ht="13" x14ac:dyDescent="0.15">
      <c r="L699" s="4"/>
      <c r="M699" s="4"/>
      <c r="N699" s="4"/>
    </row>
    <row r="700" spans="12:14" ht="13" x14ac:dyDescent="0.15">
      <c r="L700" s="4"/>
      <c r="M700" s="4"/>
      <c r="N700" s="4"/>
    </row>
    <row r="701" spans="12:14" ht="13" x14ac:dyDescent="0.15">
      <c r="L701" s="4"/>
      <c r="M701" s="4"/>
      <c r="N701" s="4"/>
    </row>
    <row r="702" spans="12:14" ht="13" x14ac:dyDescent="0.15">
      <c r="L702" s="4"/>
      <c r="M702" s="4"/>
      <c r="N702" s="4"/>
    </row>
    <row r="703" spans="12:14" ht="13" x14ac:dyDescent="0.15">
      <c r="L703" s="4"/>
      <c r="M703" s="4"/>
      <c r="N703" s="4"/>
    </row>
    <row r="704" spans="12:14" ht="13" x14ac:dyDescent="0.15">
      <c r="L704" s="4"/>
      <c r="M704" s="4"/>
      <c r="N704" s="4"/>
    </row>
    <row r="705" spans="12:14" ht="13" x14ac:dyDescent="0.15">
      <c r="L705" s="4"/>
      <c r="M705" s="4"/>
      <c r="N705" s="4"/>
    </row>
    <row r="706" spans="12:14" ht="13" x14ac:dyDescent="0.15">
      <c r="L706" s="4"/>
      <c r="M706" s="4"/>
      <c r="N706" s="4"/>
    </row>
    <row r="707" spans="12:14" ht="13" x14ac:dyDescent="0.15">
      <c r="L707" s="4"/>
      <c r="M707" s="4"/>
      <c r="N707" s="4"/>
    </row>
    <row r="708" spans="12:14" ht="13" x14ac:dyDescent="0.15">
      <c r="L708" s="4"/>
      <c r="M708" s="4"/>
      <c r="N708" s="4"/>
    </row>
    <row r="709" spans="12:14" ht="13" x14ac:dyDescent="0.15">
      <c r="L709" s="4"/>
      <c r="M709" s="4"/>
      <c r="N709" s="4"/>
    </row>
    <row r="710" spans="12:14" ht="13" x14ac:dyDescent="0.15">
      <c r="L710" s="4"/>
      <c r="M710" s="4"/>
      <c r="N710" s="4"/>
    </row>
    <row r="711" spans="12:14" ht="13" x14ac:dyDescent="0.15">
      <c r="L711" s="4"/>
      <c r="M711" s="4"/>
      <c r="N711" s="4"/>
    </row>
    <row r="712" spans="12:14" ht="13" x14ac:dyDescent="0.15">
      <c r="L712" s="4"/>
      <c r="M712" s="4"/>
      <c r="N712" s="4"/>
    </row>
    <row r="713" spans="12:14" ht="13" x14ac:dyDescent="0.15">
      <c r="L713" s="4"/>
      <c r="M713" s="4"/>
      <c r="N713" s="4"/>
    </row>
    <row r="714" spans="12:14" ht="13" x14ac:dyDescent="0.15">
      <c r="L714" s="4"/>
      <c r="M714" s="4"/>
      <c r="N714" s="4"/>
    </row>
    <row r="715" spans="12:14" ht="13" x14ac:dyDescent="0.15">
      <c r="L715" s="4"/>
      <c r="M715" s="4"/>
      <c r="N715" s="4"/>
    </row>
    <row r="716" spans="12:14" ht="13" x14ac:dyDescent="0.15">
      <c r="L716" s="4"/>
      <c r="M716" s="4"/>
      <c r="N716" s="4"/>
    </row>
    <row r="717" spans="12:14" ht="13" x14ac:dyDescent="0.15">
      <c r="L717" s="4"/>
      <c r="M717" s="4"/>
      <c r="N717" s="4"/>
    </row>
    <row r="718" spans="12:14" ht="13" x14ac:dyDescent="0.15">
      <c r="L718" s="4"/>
      <c r="M718" s="4"/>
      <c r="N718" s="4"/>
    </row>
    <row r="719" spans="12:14" ht="13" x14ac:dyDescent="0.15">
      <c r="L719" s="4"/>
      <c r="M719" s="4"/>
      <c r="N719" s="4"/>
    </row>
    <row r="720" spans="12:14" ht="13" x14ac:dyDescent="0.15">
      <c r="L720" s="4"/>
      <c r="M720" s="4"/>
      <c r="N720" s="4"/>
    </row>
    <row r="721" spans="12:14" ht="13" x14ac:dyDescent="0.15">
      <c r="L721" s="4"/>
      <c r="M721" s="4"/>
      <c r="N721" s="4"/>
    </row>
    <row r="722" spans="12:14" ht="13" x14ac:dyDescent="0.15">
      <c r="L722" s="4"/>
      <c r="M722" s="4"/>
      <c r="N722" s="4"/>
    </row>
    <row r="723" spans="12:14" ht="13" x14ac:dyDescent="0.15">
      <c r="L723" s="4"/>
      <c r="M723" s="4"/>
      <c r="N723" s="4"/>
    </row>
    <row r="724" spans="12:14" ht="13" x14ac:dyDescent="0.15">
      <c r="L724" s="4"/>
      <c r="M724" s="4"/>
      <c r="N724" s="4"/>
    </row>
    <row r="725" spans="12:14" ht="13" x14ac:dyDescent="0.15">
      <c r="L725" s="4"/>
      <c r="M725" s="4"/>
      <c r="N725" s="4"/>
    </row>
    <row r="726" spans="12:14" ht="13" x14ac:dyDescent="0.15">
      <c r="L726" s="4"/>
      <c r="M726" s="4"/>
      <c r="N726" s="4"/>
    </row>
    <row r="727" spans="12:14" ht="13" x14ac:dyDescent="0.15">
      <c r="L727" s="4"/>
      <c r="M727" s="4"/>
      <c r="N727" s="4"/>
    </row>
    <row r="728" spans="12:14" ht="13" x14ac:dyDescent="0.15">
      <c r="L728" s="4"/>
      <c r="M728" s="4"/>
      <c r="N728" s="4"/>
    </row>
    <row r="729" spans="12:14" ht="13" x14ac:dyDescent="0.15">
      <c r="L729" s="4"/>
      <c r="M729" s="4"/>
      <c r="N729" s="4"/>
    </row>
    <row r="730" spans="12:14" ht="13" x14ac:dyDescent="0.15">
      <c r="L730" s="4"/>
      <c r="M730" s="4"/>
      <c r="N730" s="4"/>
    </row>
    <row r="731" spans="12:14" ht="13" x14ac:dyDescent="0.15">
      <c r="L731" s="4"/>
      <c r="M731" s="4"/>
      <c r="N731" s="4"/>
    </row>
    <row r="732" spans="12:14" ht="13" x14ac:dyDescent="0.15">
      <c r="L732" s="4"/>
      <c r="M732" s="4"/>
      <c r="N732" s="4"/>
    </row>
    <row r="733" spans="12:14" ht="13" x14ac:dyDescent="0.15">
      <c r="L733" s="4"/>
      <c r="M733" s="4"/>
      <c r="N733" s="4"/>
    </row>
    <row r="734" spans="12:14" ht="13" x14ac:dyDescent="0.15">
      <c r="L734" s="4"/>
      <c r="M734" s="4"/>
      <c r="N734" s="4"/>
    </row>
    <row r="735" spans="12:14" ht="13" x14ac:dyDescent="0.15">
      <c r="L735" s="4"/>
      <c r="M735" s="4"/>
      <c r="N735" s="4"/>
    </row>
    <row r="736" spans="12:14" ht="13" x14ac:dyDescent="0.15">
      <c r="L736" s="4"/>
      <c r="M736" s="4"/>
      <c r="N736" s="4"/>
    </row>
    <row r="737" spans="12:14" ht="13" x14ac:dyDescent="0.15">
      <c r="L737" s="4"/>
      <c r="M737" s="4"/>
      <c r="N737" s="4"/>
    </row>
    <row r="738" spans="12:14" ht="13" x14ac:dyDescent="0.15">
      <c r="L738" s="4"/>
      <c r="M738" s="4"/>
      <c r="N738" s="4"/>
    </row>
    <row r="739" spans="12:14" ht="13" x14ac:dyDescent="0.15">
      <c r="L739" s="4"/>
      <c r="M739" s="4"/>
      <c r="N739" s="4"/>
    </row>
    <row r="740" spans="12:14" ht="13" x14ac:dyDescent="0.15">
      <c r="L740" s="4"/>
      <c r="M740" s="4"/>
      <c r="N740" s="4"/>
    </row>
    <row r="741" spans="12:14" ht="13" x14ac:dyDescent="0.15">
      <c r="L741" s="4"/>
      <c r="M741" s="4"/>
      <c r="N741" s="4"/>
    </row>
    <row r="742" spans="12:14" ht="13" x14ac:dyDescent="0.15">
      <c r="L742" s="4"/>
      <c r="M742" s="4"/>
      <c r="N742" s="4"/>
    </row>
    <row r="743" spans="12:14" ht="13" x14ac:dyDescent="0.15">
      <c r="L743" s="4"/>
      <c r="M743" s="4"/>
      <c r="N743" s="4"/>
    </row>
    <row r="744" spans="12:14" ht="13" x14ac:dyDescent="0.15">
      <c r="L744" s="4"/>
      <c r="M744" s="4"/>
      <c r="N744" s="4"/>
    </row>
    <row r="745" spans="12:14" ht="13" x14ac:dyDescent="0.15">
      <c r="L745" s="4"/>
      <c r="M745" s="4"/>
      <c r="N745" s="4"/>
    </row>
    <row r="746" spans="12:14" ht="13" x14ac:dyDescent="0.15">
      <c r="L746" s="4"/>
      <c r="M746" s="4"/>
      <c r="N746" s="4"/>
    </row>
    <row r="747" spans="12:14" ht="13" x14ac:dyDescent="0.15">
      <c r="L747" s="4"/>
      <c r="M747" s="4"/>
      <c r="N747" s="4"/>
    </row>
    <row r="748" spans="12:14" ht="13" x14ac:dyDescent="0.15">
      <c r="L748" s="4"/>
      <c r="M748" s="4"/>
      <c r="N748" s="4"/>
    </row>
    <row r="749" spans="12:14" ht="13" x14ac:dyDescent="0.15">
      <c r="L749" s="4"/>
      <c r="M749" s="4"/>
      <c r="N749" s="4"/>
    </row>
    <row r="750" spans="12:14" ht="13" x14ac:dyDescent="0.15">
      <c r="L750" s="4"/>
      <c r="M750" s="4"/>
      <c r="N750" s="4"/>
    </row>
    <row r="751" spans="12:14" ht="13" x14ac:dyDescent="0.15">
      <c r="L751" s="4"/>
      <c r="M751" s="4"/>
      <c r="N751" s="4"/>
    </row>
    <row r="752" spans="12:14" ht="13" x14ac:dyDescent="0.15">
      <c r="L752" s="4"/>
      <c r="M752" s="4"/>
      <c r="N752" s="4"/>
    </row>
    <row r="753" spans="12:14" ht="13" x14ac:dyDescent="0.15">
      <c r="L753" s="4"/>
      <c r="M753" s="4"/>
      <c r="N753" s="4"/>
    </row>
    <row r="754" spans="12:14" ht="13" x14ac:dyDescent="0.15">
      <c r="L754" s="4"/>
      <c r="M754" s="4"/>
      <c r="N754" s="4"/>
    </row>
    <row r="755" spans="12:14" ht="13" x14ac:dyDescent="0.15">
      <c r="L755" s="4"/>
      <c r="M755" s="4"/>
      <c r="N755" s="4"/>
    </row>
    <row r="756" spans="12:14" ht="13" x14ac:dyDescent="0.15">
      <c r="L756" s="4"/>
      <c r="M756" s="4"/>
      <c r="N756" s="4"/>
    </row>
    <row r="757" spans="12:14" ht="13" x14ac:dyDescent="0.15">
      <c r="L757" s="4"/>
      <c r="M757" s="4"/>
      <c r="N757" s="4"/>
    </row>
    <row r="758" spans="12:14" ht="13" x14ac:dyDescent="0.15">
      <c r="L758" s="4"/>
      <c r="M758" s="4"/>
      <c r="N758" s="4"/>
    </row>
    <row r="759" spans="12:14" ht="13" x14ac:dyDescent="0.15">
      <c r="L759" s="4"/>
      <c r="M759" s="4"/>
      <c r="N759" s="4"/>
    </row>
    <row r="760" spans="12:14" ht="13" x14ac:dyDescent="0.15">
      <c r="L760" s="4"/>
      <c r="M760" s="4"/>
      <c r="N760" s="4"/>
    </row>
    <row r="761" spans="12:14" ht="13" x14ac:dyDescent="0.15">
      <c r="L761" s="4"/>
      <c r="M761" s="4"/>
      <c r="N761" s="4"/>
    </row>
    <row r="762" spans="12:14" ht="13" x14ac:dyDescent="0.15">
      <c r="L762" s="4"/>
      <c r="M762" s="4"/>
      <c r="N762" s="4"/>
    </row>
    <row r="763" spans="12:14" ht="13" x14ac:dyDescent="0.15">
      <c r="L763" s="4"/>
      <c r="M763" s="4"/>
      <c r="N763" s="4"/>
    </row>
    <row r="764" spans="12:14" ht="13" x14ac:dyDescent="0.15">
      <c r="L764" s="4"/>
      <c r="M764" s="4"/>
      <c r="N764" s="4"/>
    </row>
    <row r="765" spans="12:14" ht="13" x14ac:dyDescent="0.15">
      <c r="L765" s="4"/>
      <c r="M765" s="4"/>
      <c r="N765" s="4"/>
    </row>
    <row r="766" spans="12:14" ht="13" x14ac:dyDescent="0.15">
      <c r="L766" s="4"/>
      <c r="M766" s="4"/>
      <c r="N766" s="4"/>
    </row>
    <row r="767" spans="12:14" ht="13" x14ac:dyDescent="0.15">
      <c r="L767" s="4"/>
      <c r="M767" s="4"/>
      <c r="N767" s="4"/>
    </row>
    <row r="768" spans="12:14" ht="13" x14ac:dyDescent="0.15">
      <c r="L768" s="4"/>
      <c r="M768" s="4"/>
      <c r="N768" s="4"/>
    </row>
    <row r="769" spans="12:14" ht="13" x14ac:dyDescent="0.15">
      <c r="L769" s="4"/>
      <c r="M769" s="4"/>
      <c r="N769" s="4"/>
    </row>
    <row r="770" spans="12:14" ht="13" x14ac:dyDescent="0.15">
      <c r="L770" s="4"/>
      <c r="M770" s="4"/>
      <c r="N770" s="4"/>
    </row>
    <row r="771" spans="12:14" ht="13" x14ac:dyDescent="0.15">
      <c r="L771" s="4"/>
      <c r="M771" s="4"/>
      <c r="N771" s="4"/>
    </row>
    <row r="772" spans="12:14" ht="13" x14ac:dyDescent="0.15">
      <c r="L772" s="4"/>
      <c r="M772" s="4"/>
      <c r="N772" s="4"/>
    </row>
    <row r="773" spans="12:14" ht="13" x14ac:dyDescent="0.15">
      <c r="L773" s="4"/>
      <c r="M773" s="4"/>
      <c r="N773" s="4"/>
    </row>
    <row r="774" spans="12:14" ht="13" x14ac:dyDescent="0.15">
      <c r="L774" s="4"/>
      <c r="M774" s="4"/>
      <c r="N774" s="4"/>
    </row>
    <row r="775" spans="12:14" ht="13" x14ac:dyDescent="0.15">
      <c r="L775" s="4"/>
      <c r="M775" s="4"/>
      <c r="N775" s="4"/>
    </row>
    <row r="776" spans="12:14" ht="13" x14ac:dyDescent="0.15">
      <c r="L776" s="4"/>
      <c r="M776" s="4"/>
      <c r="N776" s="4"/>
    </row>
    <row r="777" spans="12:14" ht="13" x14ac:dyDescent="0.15">
      <c r="L777" s="4"/>
      <c r="M777" s="4"/>
      <c r="N777" s="4"/>
    </row>
    <row r="778" spans="12:14" ht="13" x14ac:dyDescent="0.15">
      <c r="L778" s="4"/>
      <c r="M778" s="4"/>
      <c r="N778" s="4"/>
    </row>
    <row r="779" spans="12:14" ht="13" x14ac:dyDescent="0.15">
      <c r="L779" s="4"/>
      <c r="M779" s="4"/>
      <c r="N779" s="4"/>
    </row>
    <row r="780" spans="12:14" ht="13" x14ac:dyDescent="0.15">
      <c r="L780" s="4"/>
      <c r="M780" s="4"/>
      <c r="N780" s="4"/>
    </row>
    <row r="781" spans="12:14" ht="13" x14ac:dyDescent="0.15">
      <c r="L781" s="4"/>
      <c r="M781" s="4"/>
      <c r="N781" s="4"/>
    </row>
    <row r="782" spans="12:14" ht="13" x14ac:dyDescent="0.15">
      <c r="L782" s="4"/>
      <c r="M782" s="4"/>
      <c r="N782" s="4"/>
    </row>
    <row r="783" spans="12:14" ht="13" x14ac:dyDescent="0.15">
      <c r="L783" s="4"/>
      <c r="M783" s="4"/>
      <c r="N783" s="4"/>
    </row>
    <row r="784" spans="12:14" ht="13" x14ac:dyDescent="0.15">
      <c r="L784" s="4"/>
      <c r="M784" s="4"/>
      <c r="N784" s="4"/>
    </row>
    <row r="785" spans="12:14" ht="13" x14ac:dyDescent="0.15">
      <c r="L785" s="4"/>
      <c r="M785" s="4"/>
      <c r="N785" s="4"/>
    </row>
    <row r="786" spans="12:14" ht="13" x14ac:dyDescent="0.15">
      <c r="L786" s="4"/>
      <c r="M786" s="4"/>
      <c r="N786" s="4"/>
    </row>
    <row r="787" spans="12:14" ht="13" x14ac:dyDescent="0.15">
      <c r="L787" s="4"/>
      <c r="M787" s="4"/>
      <c r="N787" s="4"/>
    </row>
    <row r="788" spans="12:14" ht="13" x14ac:dyDescent="0.15">
      <c r="L788" s="4"/>
      <c r="M788" s="4"/>
      <c r="N788" s="4"/>
    </row>
    <row r="789" spans="12:14" ht="13" x14ac:dyDescent="0.15">
      <c r="L789" s="4"/>
      <c r="M789" s="4"/>
      <c r="N789" s="4"/>
    </row>
    <row r="790" spans="12:14" ht="13" x14ac:dyDescent="0.15">
      <c r="L790" s="4"/>
      <c r="M790" s="4"/>
      <c r="N790" s="4"/>
    </row>
    <row r="791" spans="12:14" ht="13" x14ac:dyDescent="0.15">
      <c r="L791" s="4"/>
      <c r="M791" s="4"/>
      <c r="N791" s="4"/>
    </row>
    <row r="792" spans="12:14" ht="13" x14ac:dyDescent="0.15">
      <c r="L792" s="4"/>
      <c r="M792" s="4"/>
      <c r="N792" s="4"/>
    </row>
    <row r="793" spans="12:14" ht="13" x14ac:dyDescent="0.15">
      <c r="L793" s="4"/>
      <c r="M793" s="4"/>
      <c r="N793" s="4"/>
    </row>
    <row r="794" spans="12:14" ht="13" x14ac:dyDescent="0.15">
      <c r="L794" s="4"/>
      <c r="M794" s="4"/>
      <c r="N794" s="4"/>
    </row>
    <row r="795" spans="12:14" ht="13" x14ac:dyDescent="0.15">
      <c r="L795" s="4"/>
      <c r="M795" s="4"/>
      <c r="N795" s="4"/>
    </row>
    <row r="796" spans="12:14" ht="13" x14ac:dyDescent="0.15">
      <c r="L796" s="4"/>
      <c r="M796" s="4"/>
      <c r="N796" s="4"/>
    </row>
    <row r="797" spans="12:14" ht="13" x14ac:dyDescent="0.15">
      <c r="L797" s="4"/>
      <c r="M797" s="4"/>
      <c r="N797" s="4"/>
    </row>
    <row r="798" spans="12:14" ht="13" x14ac:dyDescent="0.15">
      <c r="L798" s="4"/>
      <c r="M798" s="4"/>
      <c r="N798" s="4"/>
    </row>
    <row r="799" spans="12:14" ht="13" x14ac:dyDescent="0.15">
      <c r="L799" s="4"/>
      <c r="M799" s="4"/>
      <c r="N799" s="4"/>
    </row>
    <row r="800" spans="12:14" ht="13" x14ac:dyDescent="0.15">
      <c r="L800" s="4"/>
      <c r="M800" s="4"/>
      <c r="N800" s="4"/>
    </row>
    <row r="801" spans="12:14" ht="13" x14ac:dyDescent="0.15">
      <c r="L801" s="4"/>
      <c r="M801" s="4"/>
      <c r="N801" s="4"/>
    </row>
    <row r="802" spans="12:14" ht="13" x14ac:dyDescent="0.15">
      <c r="L802" s="4"/>
      <c r="M802" s="4"/>
      <c r="N802" s="4"/>
    </row>
    <row r="803" spans="12:14" ht="13" x14ac:dyDescent="0.15">
      <c r="L803" s="4"/>
      <c r="M803" s="4"/>
      <c r="N803" s="4"/>
    </row>
    <row r="804" spans="12:14" ht="13" x14ac:dyDescent="0.15">
      <c r="L804" s="4"/>
      <c r="M804" s="4"/>
      <c r="N804" s="4"/>
    </row>
    <row r="805" spans="12:14" ht="13" x14ac:dyDescent="0.15">
      <c r="L805" s="4"/>
      <c r="M805" s="4"/>
      <c r="N805" s="4"/>
    </row>
    <row r="806" spans="12:14" ht="13" x14ac:dyDescent="0.15">
      <c r="L806" s="4"/>
      <c r="M806" s="4"/>
      <c r="N806" s="4"/>
    </row>
    <row r="807" spans="12:14" ht="13" x14ac:dyDescent="0.15">
      <c r="L807" s="4"/>
      <c r="M807" s="4"/>
      <c r="N807" s="4"/>
    </row>
    <row r="808" spans="12:14" ht="13" x14ac:dyDescent="0.15">
      <c r="L808" s="4"/>
      <c r="M808" s="4"/>
      <c r="N808" s="4"/>
    </row>
    <row r="809" spans="12:14" ht="13" x14ac:dyDescent="0.15">
      <c r="L809" s="4"/>
      <c r="M809" s="4"/>
      <c r="N809" s="4"/>
    </row>
    <row r="810" spans="12:14" ht="13" x14ac:dyDescent="0.15">
      <c r="L810" s="4"/>
      <c r="M810" s="4"/>
      <c r="N810" s="4"/>
    </row>
    <row r="811" spans="12:14" ht="13" x14ac:dyDescent="0.15">
      <c r="L811" s="4"/>
      <c r="M811" s="4"/>
      <c r="N811" s="4"/>
    </row>
    <row r="812" spans="12:14" ht="13" x14ac:dyDescent="0.15">
      <c r="L812" s="4"/>
      <c r="M812" s="4"/>
      <c r="N812" s="4"/>
    </row>
    <row r="813" spans="12:14" ht="13" x14ac:dyDescent="0.15">
      <c r="L813" s="4"/>
      <c r="M813" s="4"/>
      <c r="N813" s="4"/>
    </row>
    <row r="814" spans="12:14" ht="13" x14ac:dyDescent="0.15">
      <c r="L814" s="4"/>
      <c r="M814" s="4"/>
      <c r="N814" s="4"/>
    </row>
    <row r="815" spans="12:14" ht="13" x14ac:dyDescent="0.15">
      <c r="L815" s="4"/>
      <c r="M815" s="4"/>
      <c r="N815" s="4"/>
    </row>
    <row r="816" spans="12:14" ht="13" x14ac:dyDescent="0.15">
      <c r="L816" s="4"/>
      <c r="M816" s="4"/>
      <c r="N816" s="4"/>
    </row>
    <row r="817" spans="12:14" ht="13" x14ac:dyDescent="0.15">
      <c r="L817" s="4"/>
      <c r="M817" s="4"/>
      <c r="N817" s="4"/>
    </row>
    <row r="818" spans="12:14" ht="13" x14ac:dyDescent="0.15">
      <c r="L818" s="4"/>
      <c r="M818" s="4"/>
      <c r="N818" s="4"/>
    </row>
    <row r="819" spans="12:14" ht="13" x14ac:dyDescent="0.15">
      <c r="L819" s="4"/>
      <c r="M819" s="4"/>
      <c r="N819" s="4"/>
    </row>
    <row r="820" spans="12:14" ht="13" x14ac:dyDescent="0.15">
      <c r="L820" s="4"/>
      <c r="M820" s="4"/>
      <c r="N820" s="4"/>
    </row>
    <row r="821" spans="12:14" ht="13" x14ac:dyDescent="0.15">
      <c r="L821" s="4"/>
      <c r="M821" s="4"/>
      <c r="N821" s="4"/>
    </row>
    <row r="822" spans="12:14" ht="13" x14ac:dyDescent="0.15">
      <c r="L822" s="4"/>
      <c r="M822" s="4"/>
      <c r="N822" s="4"/>
    </row>
    <row r="823" spans="12:14" ht="13" x14ac:dyDescent="0.15">
      <c r="L823" s="4"/>
      <c r="M823" s="4"/>
      <c r="N823" s="4"/>
    </row>
    <row r="824" spans="12:14" ht="13" x14ac:dyDescent="0.15">
      <c r="L824" s="4"/>
      <c r="M824" s="4"/>
      <c r="N824" s="4"/>
    </row>
    <row r="825" spans="12:14" ht="13" x14ac:dyDescent="0.15">
      <c r="L825" s="4"/>
      <c r="M825" s="4"/>
      <c r="N825" s="4"/>
    </row>
    <row r="826" spans="12:14" ht="13" x14ac:dyDescent="0.15">
      <c r="L826" s="4"/>
      <c r="M826" s="4"/>
      <c r="N826" s="4"/>
    </row>
    <row r="827" spans="12:14" ht="13" x14ac:dyDescent="0.15">
      <c r="L827" s="4"/>
      <c r="M827" s="4"/>
      <c r="N827" s="4"/>
    </row>
    <row r="828" spans="12:14" ht="13" x14ac:dyDescent="0.15">
      <c r="L828" s="4"/>
      <c r="M828" s="4"/>
      <c r="N828" s="4"/>
    </row>
    <row r="829" spans="12:14" ht="13" x14ac:dyDescent="0.15">
      <c r="L829" s="4"/>
      <c r="M829" s="4"/>
      <c r="N829" s="4"/>
    </row>
    <row r="830" spans="12:14" ht="13" x14ac:dyDescent="0.15">
      <c r="L830" s="4"/>
      <c r="M830" s="4"/>
      <c r="N830" s="4"/>
    </row>
    <row r="831" spans="12:14" ht="13" x14ac:dyDescent="0.15">
      <c r="L831" s="4"/>
      <c r="M831" s="4"/>
      <c r="N831" s="4"/>
    </row>
    <row r="832" spans="12:14" ht="13" x14ac:dyDescent="0.15">
      <c r="L832" s="4"/>
      <c r="M832" s="4"/>
      <c r="N832" s="4"/>
    </row>
    <row r="833" spans="12:14" ht="13" x14ac:dyDescent="0.15">
      <c r="L833" s="4"/>
      <c r="M833" s="4"/>
      <c r="N833" s="4"/>
    </row>
    <row r="834" spans="12:14" ht="13" x14ac:dyDescent="0.15">
      <c r="L834" s="4"/>
      <c r="M834" s="4"/>
      <c r="N834" s="4"/>
    </row>
    <row r="835" spans="12:14" ht="13" x14ac:dyDescent="0.15">
      <c r="L835" s="4"/>
      <c r="M835" s="4"/>
      <c r="N835" s="4"/>
    </row>
    <row r="836" spans="12:14" ht="13" x14ac:dyDescent="0.15">
      <c r="L836" s="4"/>
      <c r="M836" s="4"/>
      <c r="N836" s="4"/>
    </row>
    <row r="837" spans="12:14" ht="13" x14ac:dyDescent="0.15">
      <c r="L837" s="4"/>
      <c r="M837" s="4"/>
      <c r="N837" s="4"/>
    </row>
    <row r="838" spans="12:14" ht="13" x14ac:dyDescent="0.15">
      <c r="L838" s="4"/>
      <c r="M838" s="4"/>
      <c r="N838" s="4"/>
    </row>
    <row r="839" spans="12:14" ht="13" x14ac:dyDescent="0.15">
      <c r="L839" s="4"/>
      <c r="M839" s="4"/>
      <c r="N839" s="4"/>
    </row>
    <row r="840" spans="12:14" ht="13" x14ac:dyDescent="0.15">
      <c r="L840" s="4"/>
      <c r="M840" s="4"/>
      <c r="N840" s="4"/>
    </row>
    <row r="841" spans="12:14" ht="13" x14ac:dyDescent="0.15">
      <c r="L841" s="4"/>
      <c r="M841" s="4"/>
      <c r="N841" s="4"/>
    </row>
    <row r="842" spans="12:14" ht="13" x14ac:dyDescent="0.15">
      <c r="L842" s="4"/>
      <c r="M842" s="4"/>
      <c r="N842" s="4"/>
    </row>
    <row r="843" spans="12:14" ht="13" x14ac:dyDescent="0.15">
      <c r="L843" s="4"/>
      <c r="M843" s="4"/>
      <c r="N843" s="4"/>
    </row>
    <row r="844" spans="12:14" ht="13" x14ac:dyDescent="0.15">
      <c r="L844" s="4"/>
      <c r="M844" s="4"/>
      <c r="N844" s="4"/>
    </row>
    <row r="845" spans="12:14" ht="13" x14ac:dyDescent="0.15">
      <c r="L845" s="4"/>
      <c r="M845" s="4"/>
      <c r="N845" s="4"/>
    </row>
    <row r="846" spans="12:14" ht="13" x14ac:dyDescent="0.15">
      <c r="L846" s="4"/>
      <c r="M846" s="4"/>
      <c r="N846" s="4"/>
    </row>
    <row r="847" spans="12:14" ht="13" x14ac:dyDescent="0.15">
      <c r="L847" s="4"/>
      <c r="M847" s="4"/>
      <c r="N847" s="4"/>
    </row>
    <row r="848" spans="12:14" ht="13" x14ac:dyDescent="0.15">
      <c r="L848" s="4"/>
      <c r="M848" s="4"/>
      <c r="N848" s="4"/>
    </row>
    <row r="849" spans="12:14" ht="13" x14ac:dyDescent="0.15">
      <c r="L849" s="4"/>
      <c r="M849" s="4"/>
      <c r="N849" s="4"/>
    </row>
    <row r="850" spans="12:14" ht="13" x14ac:dyDescent="0.15">
      <c r="L850" s="4"/>
      <c r="M850" s="4"/>
      <c r="N850" s="4"/>
    </row>
    <row r="851" spans="12:14" ht="13" x14ac:dyDescent="0.15">
      <c r="L851" s="4"/>
      <c r="M851" s="4"/>
      <c r="N851" s="4"/>
    </row>
    <row r="852" spans="12:14" ht="13" x14ac:dyDescent="0.15">
      <c r="L852" s="4"/>
      <c r="M852" s="4"/>
      <c r="N852" s="4"/>
    </row>
    <row r="853" spans="12:14" ht="13" x14ac:dyDescent="0.15">
      <c r="L853" s="4"/>
      <c r="M853" s="4"/>
      <c r="N853" s="4"/>
    </row>
    <row r="854" spans="12:14" ht="13" x14ac:dyDescent="0.15">
      <c r="L854" s="4"/>
      <c r="M854" s="4"/>
      <c r="N854" s="4"/>
    </row>
    <row r="855" spans="12:14" ht="13" x14ac:dyDescent="0.15">
      <c r="L855" s="4"/>
      <c r="M855" s="4"/>
      <c r="N855" s="4"/>
    </row>
    <row r="856" spans="12:14" ht="13" x14ac:dyDescent="0.15">
      <c r="L856" s="4"/>
      <c r="M856" s="4"/>
      <c r="N856" s="4"/>
    </row>
    <row r="857" spans="12:14" ht="13" x14ac:dyDescent="0.15">
      <c r="L857" s="4"/>
      <c r="M857" s="4"/>
      <c r="N857" s="4"/>
    </row>
    <row r="858" spans="12:14" ht="13" x14ac:dyDescent="0.15">
      <c r="L858" s="4"/>
      <c r="M858" s="4"/>
      <c r="N858" s="4"/>
    </row>
    <row r="859" spans="12:14" ht="13" x14ac:dyDescent="0.15">
      <c r="L859" s="4"/>
      <c r="M859" s="4"/>
      <c r="N859" s="4"/>
    </row>
    <row r="860" spans="12:14" ht="13" x14ac:dyDescent="0.15">
      <c r="L860" s="4"/>
      <c r="M860" s="4"/>
      <c r="N860" s="4"/>
    </row>
    <row r="861" spans="12:14" ht="13" x14ac:dyDescent="0.15">
      <c r="L861" s="4"/>
      <c r="M861" s="4"/>
      <c r="N861" s="4"/>
    </row>
    <row r="862" spans="12:14" ht="13" x14ac:dyDescent="0.15">
      <c r="L862" s="4"/>
      <c r="M862" s="4"/>
      <c r="N862" s="4"/>
    </row>
    <row r="863" spans="12:14" ht="13" x14ac:dyDescent="0.15">
      <c r="L863" s="4"/>
      <c r="M863" s="4"/>
      <c r="N863" s="4"/>
    </row>
    <row r="864" spans="12:14" ht="13" x14ac:dyDescent="0.15">
      <c r="L864" s="4"/>
      <c r="M864" s="4"/>
      <c r="N864" s="4"/>
    </row>
    <row r="865" spans="12:14" ht="13" x14ac:dyDescent="0.15">
      <c r="L865" s="4"/>
      <c r="M865" s="4"/>
      <c r="N865" s="4"/>
    </row>
    <row r="866" spans="12:14" ht="13" x14ac:dyDescent="0.15">
      <c r="L866" s="4"/>
      <c r="M866" s="4"/>
      <c r="N866" s="4"/>
    </row>
    <row r="867" spans="12:14" ht="13" x14ac:dyDescent="0.15">
      <c r="L867" s="4"/>
      <c r="M867" s="4"/>
      <c r="N867" s="4"/>
    </row>
    <row r="868" spans="12:14" ht="13" x14ac:dyDescent="0.15">
      <c r="L868" s="4"/>
      <c r="M868" s="4"/>
      <c r="N868" s="4"/>
    </row>
    <row r="869" spans="12:14" ht="13" x14ac:dyDescent="0.15">
      <c r="L869" s="4"/>
      <c r="M869" s="4"/>
      <c r="N869" s="4"/>
    </row>
    <row r="870" spans="12:14" ht="13" x14ac:dyDescent="0.15">
      <c r="L870" s="4"/>
      <c r="M870" s="4"/>
      <c r="N870" s="4"/>
    </row>
    <row r="871" spans="12:14" ht="13" x14ac:dyDescent="0.15">
      <c r="L871" s="4"/>
      <c r="M871" s="4"/>
      <c r="N871" s="4"/>
    </row>
    <row r="872" spans="12:14" ht="13" x14ac:dyDescent="0.15">
      <c r="L872" s="4"/>
      <c r="M872" s="4"/>
      <c r="N872" s="4"/>
    </row>
    <row r="873" spans="12:14" ht="13" x14ac:dyDescent="0.15">
      <c r="L873" s="4"/>
      <c r="M873" s="4"/>
      <c r="N873" s="4"/>
    </row>
    <row r="874" spans="12:14" ht="13" x14ac:dyDescent="0.15">
      <c r="L874" s="4"/>
      <c r="M874" s="4"/>
      <c r="N874" s="4"/>
    </row>
    <row r="875" spans="12:14" ht="13" x14ac:dyDescent="0.15">
      <c r="L875" s="4"/>
      <c r="M875" s="4"/>
      <c r="N875" s="4"/>
    </row>
    <row r="876" spans="12:14" ht="13" x14ac:dyDescent="0.15">
      <c r="L876" s="4"/>
      <c r="M876" s="4"/>
      <c r="N876" s="4"/>
    </row>
    <row r="877" spans="12:14" ht="13" x14ac:dyDescent="0.15">
      <c r="L877" s="4"/>
      <c r="M877" s="4"/>
      <c r="N877" s="4"/>
    </row>
    <row r="878" spans="12:14" ht="13" x14ac:dyDescent="0.15">
      <c r="L878" s="4"/>
      <c r="M878" s="4"/>
      <c r="N878" s="4"/>
    </row>
    <row r="879" spans="12:14" ht="13" x14ac:dyDescent="0.15">
      <c r="L879" s="4"/>
      <c r="M879" s="4"/>
      <c r="N879" s="4"/>
    </row>
    <row r="880" spans="12:14" ht="13" x14ac:dyDescent="0.15">
      <c r="L880" s="4"/>
      <c r="M880" s="4"/>
      <c r="N880" s="4"/>
    </row>
    <row r="881" spans="12:14" ht="13" x14ac:dyDescent="0.15">
      <c r="L881" s="4"/>
      <c r="M881" s="4"/>
      <c r="N881" s="4"/>
    </row>
    <row r="882" spans="12:14" ht="13" x14ac:dyDescent="0.15">
      <c r="L882" s="4"/>
      <c r="M882" s="4"/>
      <c r="N882" s="4"/>
    </row>
    <row r="883" spans="12:14" ht="13" x14ac:dyDescent="0.15">
      <c r="L883" s="4"/>
      <c r="M883" s="4"/>
      <c r="N883" s="4"/>
    </row>
    <row r="884" spans="12:14" ht="13" x14ac:dyDescent="0.15">
      <c r="L884" s="4"/>
      <c r="M884" s="4"/>
      <c r="N884" s="4"/>
    </row>
    <row r="885" spans="12:14" ht="13" x14ac:dyDescent="0.15">
      <c r="L885" s="4"/>
      <c r="M885" s="4"/>
      <c r="N885" s="4"/>
    </row>
    <row r="886" spans="12:14" ht="13" x14ac:dyDescent="0.15">
      <c r="L886" s="4"/>
      <c r="M886" s="4"/>
      <c r="N886" s="4"/>
    </row>
    <row r="887" spans="12:14" ht="13" x14ac:dyDescent="0.15">
      <c r="L887" s="4"/>
      <c r="M887" s="4"/>
      <c r="N887" s="4"/>
    </row>
    <row r="888" spans="12:14" ht="13" x14ac:dyDescent="0.15">
      <c r="L888" s="4"/>
      <c r="M888" s="4"/>
      <c r="N888" s="4"/>
    </row>
    <row r="889" spans="12:14" ht="13" x14ac:dyDescent="0.15">
      <c r="L889" s="4"/>
      <c r="M889" s="4"/>
      <c r="N889" s="4"/>
    </row>
    <row r="890" spans="12:14" ht="13" x14ac:dyDescent="0.15">
      <c r="L890" s="4"/>
      <c r="M890" s="4"/>
      <c r="N890" s="4"/>
    </row>
    <row r="891" spans="12:14" ht="13" x14ac:dyDescent="0.15">
      <c r="L891" s="4"/>
      <c r="M891" s="4"/>
      <c r="N891" s="4"/>
    </row>
    <row r="892" spans="12:14" ht="13" x14ac:dyDescent="0.15">
      <c r="L892" s="4"/>
      <c r="M892" s="4"/>
      <c r="N892" s="4"/>
    </row>
    <row r="893" spans="12:14" ht="13" x14ac:dyDescent="0.15">
      <c r="L893" s="4"/>
      <c r="M893" s="4"/>
      <c r="N893" s="4"/>
    </row>
    <row r="894" spans="12:14" ht="13" x14ac:dyDescent="0.15">
      <c r="L894" s="4"/>
      <c r="M894" s="4"/>
      <c r="N894" s="4"/>
    </row>
    <row r="895" spans="12:14" ht="13" x14ac:dyDescent="0.15">
      <c r="L895" s="4"/>
      <c r="M895" s="4"/>
      <c r="N895" s="4"/>
    </row>
    <row r="896" spans="12:14" ht="13" x14ac:dyDescent="0.15">
      <c r="L896" s="4"/>
      <c r="M896" s="4"/>
      <c r="N896" s="4"/>
    </row>
    <row r="897" spans="12:14" ht="13" x14ac:dyDescent="0.15">
      <c r="L897" s="4"/>
      <c r="M897" s="4"/>
      <c r="N897" s="4"/>
    </row>
    <row r="898" spans="12:14" ht="13" x14ac:dyDescent="0.15">
      <c r="L898" s="4"/>
      <c r="M898" s="4"/>
      <c r="N898" s="4"/>
    </row>
    <row r="899" spans="12:14" ht="13" x14ac:dyDescent="0.15">
      <c r="L899" s="4"/>
      <c r="M899" s="4"/>
      <c r="N899" s="4"/>
    </row>
    <row r="900" spans="12:14" ht="13" x14ac:dyDescent="0.15">
      <c r="L900" s="4"/>
      <c r="M900" s="4"/>
      <c r="N900" s="4"/>
    </row>
    <row r="901" spans="12:14" ht="13" x14ac:dyDescent="0.15">
      <c r="L901" s="4"/>
      <c r="M901" s="4"/>
      <c r="N901" s="4"/>
    </row>
    <row r="902" spans="12:14" ht="13" x14ac:dyDescent="0.15">
      <c r="L902" s="4"/>
      <c r="M902" s="4"/>
      <c r="N902" s="4"/>
    </row>
    <row r="903" spans="12:14" ht="13" x14ac:dyDescent="0.15">
      <c r="L903" s="4"/>
      <c r="M903" s="4"/>
      <c r="N903" s="4"/>
    </row>
    <row r="904" spans="12:14" ht="13" x14ac:dyDescent="0.15">
      <c r="L904" s="4"/>
      <c r="M904" s="4"/>
      <c r="N904" s="4"/>
    </row>
    <row r="905" spans="12:14" ht="13" x14ac:dyDescent="0.15">
      <c r="L905" s="4"/>
      <c r="M905" s="4"/>
      <c r="N905" s="4"/>
    </row>
    <row r="906" spans="12:14" ht="13" x14ac:dyDescent="0.15">
      <c r="L906" s="4"/>
      <c r="M906" s="4"/>
      <c r="N906" s="4"/>
    </row>
    <row r="907" spans="12:14" ht="13" x14ac:dyDescent="0.15">
      <c r="L907" s="4"/>
      <c r="M907" s="4"/>
      <c r="N907" s="4"/>
    </row>
    <row r="908" spans="12:14" ht="13" x14ac:dyDescent="0.15">
      <c r="L908" s="4"/>
      <c r="M908" s="4"/>
      <c r="N908" s="4"/>
    </row>
    <row r="909" spans="12:14" ht="13" x14ac:dyDescent="0.15">
      <c r="L909" s="4"/>
      <c r="M909" s="4"/>
      <c r="N909" s="4"/>
    </row>
    <row r="910" spans="12:14" ht="13" x14ac:dyDescent="0.15">
      <c r="L910" s="4"/>
      <c r="M910" s="4"/>
      <c r="N910" s="4"/>
    </row>
    <row r="911" spans="12:14" ht="13" x14ac:dyDescent="0.15">
      <c r="L911" s="4"/>
      <c r="M911" s="4"/>
      <c r="N911" s="4"/>
    </row>
    <row r="912" spans="12:14" ht="13" x14ac:dyDescent="0.15">
      <c r="L912" s="4"/>
      <c r="M912" s="4"/>
      <c r="N912" s="4"/>
    </row>
    <row r="913" spans="12:14" ht="13" x14ac:dyDescent="0.15">
      <c r="L913" s="4"/>
      <c r="M913" s="4"/>
      <c r="N913" s="4"/>
    </row>
    <row r="914" spans="12:14" ht="13" x14ac:dyDescent="0.15">
      <c r="L914" s="4"/>
      <c r="M914" s="4"/>
      <c r="N914" s="4"/>
    </row>
    <row r="915" spans="12:14" ht="13" x14ac:dyDescent="0.15">
      <c r="L915" s="4"/>
      <c r="M915" s="4"/>
      <c r="N915" s="4"/>
    </row>
    <row r="916" spans="12:14" ht="13" x14ac:dyDescent="0.15">
      <c r="L916" s="4"/>
      <c r="M916" s="4"/>
      <c r="N916" s="4"/>
    </row>
    <row r="917" spans="12:14" ht="13" x14ac:dyDescent="0.15">
      <c r="L917" s="4"/>
      <c r="M917" s="4"/>
      <c r="N917" s="4"/>
    </row>
    <row r="918" spans="12:14" ht="13" x14ac:dyDescent="0.15">
      <c r="L918" s="4"/>
      <c r="M918" s="4"/>
      <c r="N918" s="4"/>
    </row>
    <row r="919" spans="12:14" ht="13" x14ac:dyDescent="0.15">
      <c r="L919" s="4"/>
      <c r="M919" s="4"/>
      <c r="N919" s="4"/>
    </row>
    <row r="920" spans="12:14" ht="13" x14ac:dyDescent="0.15">
      <c r="L920" s="4"/>
      <c r="M920" s="4"/>
      <c r="N920" s="4"/>
    </row>
    <row r="921" spans="12:14" ht="13" x14ac:dyDescent="0.15">
      <c r="L921" s="4"/>
      <c r="M921" s="4"/>
      <c r="N921" s="4"/>
    </row>
    <row r="922" spans="12:14" ht="13" x14ac:dyDescent="0.15">
      <c r="L922" s="4"/>
      <c r="M922" s="4"/>
      <c r="N922" s="4"/>
    </row>
    <row r="923" spans="12:14" ht="13" x14ac:dyDescent="0.15">
      <c r="L923" s="4"/>
      <c r="M923" s="4"/>
      <c r="N923" s="4"/>
    </row>
    <row r="924" spans="12:14" ht="13" x14ac:dyDescent="0.15">
      <c r="L924" s="4"/>
      <c r="M924" s="4"/>
      <c r="N924" s="4"/>
    </row>
    <row r="925" spans="12:14" ht="13" x14ac:dyDescent="0.15">
      <c r="L925" s="4"/>
      <c r="M925" s="4"/>
      <c r="N925" s="4"/>
    </row>
    <row r="926" spans="12:14" ht="13" x14ac:dyDescent="0.15">
      <c r="L926" s="4"/>
      <c r="M926" s="4"/>
      <c r="N926" s="4"/>
    </row>
    <row r="927" spans="12:14" ht="13" x14ac:dyDescent="0.15">
      <c r="L927" s="4"/>
      <c r="M927" s="4"/>
      <c r="N927" s="4"/>
    </row>
    <row r="928" spans="12:14" ht="13" x14ac:dyDescent="0.15">
      <c r="L928" s="4"/>
      <c r="M928" s="4"/>
      <c r="N928" s="4"/>
    </row>
    <row r="929" spans="12:14" ht="13" x14ac:dyDescent="0.15">
      <c r="L929" s="4"/>
      <c r="M929" s="4"/>
      <c r="N929" s="4"/>
    </row>
    <row r="930" spans="12:14" ht="13" x14ac:dyDescent="0.15">
      <c r="L930" s="4"/>
      <c r="M930" s="4"/>
      <c r="N930" s="4"/>
    </row>
    <row r="931" spans="12:14" ht="13" x14ac:dyDescent="0.15">
      <c r="L931" s="4"/>
      <c r="M931" s="4"/>
      <c r="N931" s="4"/>
    </row>
    <row r="932" spans="12:14" ht="13" x14ac:dyDescent="0.15">
      <c r="L932" s="4"/>
      <c r="M932" s="4"/>
      <c r="N932" s="4"/>
    </row>
    <row r="933" spans="12:14" ht="13" x14ac:dyDescent="0.15">
      <c r="L933" s="4"/>
      <c r="M933" s="4"/>
      <c r="N933" s="4"/>
    </row>
    <row r="934" spans="12:14" ht="13" x14ac:dyDescent="0.15">
      <c r="L934" s="4"/>
      <c r="M934" s="4"/>
      <c r="N934" s="4"/>
    </row>
    <row r="935" spans="12:14" ht="13" x14ac:dyDescent="0.15">
      <c r="L935" s="4"/>
      <c r="M935" s="4"/>
      <c r="N935" s="4"/>
    </row>
    <row r="936" spans="12:14" ht="13" x14ac:dyDescent="0.15">
      <c r="L936" s="4"/>
      <c r="M936" s="4"/>
      <c r="N936" s="4"/>
    </row>
    <row r="937" spans="12:14" ht="13" x14ac:dyDescent="0.15">
      <c r="L937" s="4"/>
      <c r="M937" s="4"/>
      <c r="N937" s="4"/>
    </row>
    <row r="938" spans="12:14" ht="13" x14ac:dyDescent="0.15">
      <c r="L938" s="4"/>
      <c r="M938" s="4"/>
      <c r="N938" s="4"/>
    </row>
    <row r="939" spans="12:14" ht="13" x14ac:dyDescent="0.15">
      <c r="L939" s="4"/>
      <c r="M939" s="4"/>
      <c r="N939" s="4"/>
    </row>
    <row r="940" spans="12:14" ht="13" x14ac:dyDescent="0.15">
      <c r="L940" s="4"/>
      <c r="M940" s="4"/>
      <c r="N940" s="4"/>
    </row>
    <row r="941" spans="12:14" ht="13" x14ac:dyDescent="0.15">
      <c r="L941" s="4"/>
      <c r="M941" s="4"/>
      <c r="N941" s="4"/>
    </row>
    <row r="942" spans="12:14" ht="13" x14ac:dyDescent="0.15">
      <c r="L942" s="4"/>
      <c r="M942" s="4"/>
      <c r="N942" s="4"/>
    </row>
    <row r="943" spans="12:14" ht="13" x14ac:dyDescent="0.15">
      <c r="L943" s="4"/>
      <c r="M943" s="4"/>
      <c r="N943" s="4"/>
    </row>
    <row r="944" spans="12:14" ht="13" x14ac:dyDescent="0.15">
      <c r="L944" s="4"/>
      <c r="M944" s="4"/>
      <c r="N944" s="4"/>
    </row>
    <row r="945" spans="12:14" ht="13" x14ac:dyDescent="0.15">
      <c r="L945" s="4"/>
      <c r="M945" s="4"/>
      <c r="N945" s="4"/>
    </row>
    <row r="946" spans="12:14" ht="13" x14ac:dyDescent="0.15">
      <c r="L946" s="4"/>
      <c r="M946" s="4"/>
      <c r="N946" s="4"/>
    </row>
    <row r="947" spans="12:14" ht="13" x14ac:dyDescent="0.15">
      <c r="L947" s="4"/>
      <c r="M947" s="4"/>
      <c r="N947" s="4"/>
    </row>
    <row r="948" spans="12:14" ht="13" x14ac:dyDescent="0.15">
      <c r="L948" s="4"/>
      <c r="M948" s="4"/>
      <c r="N948" s="4"/>
    </row>
    <row r="949" spans="12:14" ht="13" x14ac:dyDescent="0.15">
      <c r="L949" s="4"/>
      <c r="M949" s="4"/>
      <c r="N949" s="4"/>
    </row>
    <row r="950" spans="12:14" ht="13" x14ac:dyDescent="0.15">
      <c r="L950" s="4"/>
      <c r="M950" s="4"/>
      <c r="N950" s="4"/>
    </row>
    <row r="951" spans="12:14" ht="13" x14ac:dyDescent="0.15">
      <c r="L951" s="4"/>
      <c r="M951" s="4"/>
      <c r="N951" s="4"/>
    </row>
    <row r="952" spans="12:14" ht="13" x14ac:dyDescent="0.15">
      <c r="L952" s="4"/>
      <c r="M952" s="4"/>
      <c r="N952" s="4"/>
    </row>
    <row r="953" spans="12:14" ht="13" x14ac:dyDescent="0.15">
      <c r="L953" s="4"/>
      <c r="M953" s="4"/>
      <c r="N953" s="4"/>
    </row>
    <row r="954" spans="12:14" ht="13" x14ac:dyDescent="0.15">
      <c r="L954" s="4"/>
      <c r="M954" s="4"/>
      <c r="N954" s="4"/>
    </row>
    <row r="955" spans="12:14" ht="13" x14ac:dyDescent="0.15">
      <c r="L955" s="4"/>
      <c r="M955" s="4"/>
      <c r="N955" s="4"/>
    </row>
    <row r="956" spans="12:14" ht="13" x14ac:dyDescent="0.15">
      <c r="L956" s="4"/>
      <c r="M956" s="4"/>
      <c r="N956" s="4"/>
    </row>
    <row r="957" spans="12:14" ht="13" x14ac:dyDescent="0.15">
      <c r="L957" s="4"/>
      <c r="M957" s="4"/>
      <c r="N957" s="4"/>
    </row>
    <row r="958" spans="12:14" ht="13" x14ac:dyDescent="0.15">
      <c r="L958" s="4"/>
      <c r="M958" s="4"/>
      <c r="N958" s="4"/>
    </row>
    <row r="959" spans="12:14" ht="13" x14ac:dyDescent="0.15">
      <c r="L959" s="4"/>
      <c r="M959" s="4"/>
      <c r="N959" s="4"/>
    </row>
    <row r="960" spans="12:14" ht="13" x14ac:dyDescent="0.15">
      <c r="L960" s="4"/>
      <c r="M960" s="4"/>
      <c r="N960" s="4"/>
    </row>
    <row r="961" spans="12:14" ht="13" x14ac:dyDescent="0.15">
      <c r="L961" s="4"/>
      <c r="M961" s="4"/>
      <c r="N961" s="4"/>
    </row>
    <row r="962" spans="12:14" ht="13" x14ac:dyDescent="0.15">
      <c r="L962" s="4"/>
      <c r="M962" s="4"/>
      <c r="N962" s="4"/>
    </row>
    <row r="963" spans="12:14" ht="13" x14ac:dyDescent="0.15">
      <c r="L963" s="4"/>
      <c r="M963" s="4"/>
      <c r="N963" s="4"/>
    </row>
    <row r="964" spans="12:14" ht="13" x14ac:dyDescent="0.15">
      <c r="L964" s="4"/>
      <c r="M964" s="4"/>
      <c r="N964" s="4"/>
    </row>
    <row r="965" spans="12:14" ht="13" x14ac:dyDescent="0.15">
      <c r="L965" s="4"/>
      <c r="M965" s="4"/>
      <c r="N965" s="4"/>
    </row>
    <row r="966" spans="12:14" ht="13" x14ac:dyDescent="0.15">
      <c r="L966" s="4"/>
      <c r="M966" s="4"/>
      <c r="N966" s="4"/>
    </row>
    <row r="967" spans="12:14" ht="13" x14ac:dyDescent="0.15">
      <c r="L967" s="4"/>
      <c r="M967" s="4"/>
      <c r="N967" s="4"/>
    </row>
    <row r="968" spans="12:14" ht="13" x14ac:dyDescent="0.15">
      <c r="L968" s="4"/>
      <c r="M968" s="4"/>
      <c r="N968" s="4"/>
    </row>
    <row r="969" spans="12:14" ht="13" x14ac:dyDescent="0.15">
      <c r="L969" s="4"/>
      <c r="M969" s="4"/>
      <c r="N969" s="4"/>
    </row>
    <row r="970" spans="12:14" ht="13" x14ac:dyDescent="0.15">
      <c r="L970" s="4"/>
      <c r="M970" s="4"/>
      <c r="N970" s="4"/>
    </row>
    <row r="971" spans="12:14" ht="13" x14ac:dyDescent="0.15">
      <c r="L971" s="4"/>
      <c r="M971" s="4"/>
      <c r="N971" s="4"/>
    </row>
    <row r="972" spans="12:14" ht="13" x14ac:dyDescent="0.15">
      <c r="L972" s="4"/>
      <c r="M972" s="4"/>
      <c r="N972" s="4"/>
    </row>
    <row r="973" spans="12:14" ht="13" x14ac:dyDescent="0.15">
      <c r="L973" s="4"/>
      <c r="M973" s="4"/>
      <c r="N973" s="4"/>
    </row>
    <row r="974" spans="12:14" ht="13" x14ac:dyDescent="0.15">
      <c r="L974" s="4"/>
      <c r="M974" s="4"/>
      <c r="N974" s="4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H995"/>
  <sheetViews>
    <sheetView workbookViewId="0">
      <selection activeCell="G28" sqref="G28"/>
    </sheetView>
  </sheetViews>
  <sheetFormatPr baseColWidth="10" defaultColWidth="12.6640625" defaultRowHeight="15.75" customHeight="1" outlineLevelRow="1" x14ac:dyDescent="0.15"/>
  <cols>
    <col min="1" max="1" width="22.6640625" customWidth="1"/>
    <col min="2" max="2" width="10.1640625" customWidth="1"/>
    <col min="3" max="3" width="11.33203125" customWidth="1"/>
    <col min="4" max="4" width="12.5" customWidth="1"/>
    <col min="5" max="5" width="9.83203125" customWidth="1"/>
    <col min="6" max="6" width="19.5" customWidth="1"/>
    <col min="7" max="7" width="12.6640625" customWidth="1"/>
    <col min="8" max="8" width="26.6640625" customWidth="1"/>
    <col min="9" max="9" width="12.6640625" customWidth="1"/>
    <col min="10" max="10" width="15.1640625" customWidth="1"/>
    <col min="11" max="11" width="13.1640625" customWidth="1"/>
    <col min="12" max="12" width="10.33203125" customWidth="1"/>
    <col min="13" max="13" width="11" customWidth="1"/>
    <col min="14" max="14" width="11.83203125" customWidth="1"/>
    <col min="19" max="19" width="22.6640625" customWidth="1"/>
    <col min="20" max="23" width="7.1640625" customWidth="1"/>
    <col min="29" max="32" width="7.1640625" customWidth="1"/>
  </cols>
  <sheetData>
    <row r="1" spans="1:32" ht="15.75" customHeight="1" x14ac:dyDescent="0.25">
      <c r="A1" s="3" t="s">
        <v>29</v>
      </c>
      <c r="J1" s="3" t="s">
        <v>30</v>
      </c>
      <c r="L1" s="4"/>
      <c r="M1" s="4"/>
      <c r="N1" s="4"/>
      <c r="S1" s="3" t="s">
        <v>31</v>
      </c>
      <c r="U1" s="4"/>
      <c r="V1" s="4"/>
      <c r="W1" s="4"/>
      <c r="AB1" s="3" t="s">
        <v>32</v>
      </c>
    </row>
    <row r="2" spans="1:32" ht="15.75" customHeight="1" x14ac:dyDescent="0.15">
      <c r="B2" s="5" t="s">
        <v>33</v>
      </c>
      <c r="C2" s="5" t="s">
        <v>34</v>
      </c>
      <c r="D2" s="5" t="s">
        <v>35</v>
      </c>
      <c r="E2" s="5" t="s">
        <v>17</v>
      </c>
      <c r="K2" s="5" t="s">
        <v>33</v>
      </c>
      <c r="L2" s="5" t="s">
        <v>34</v>
      </c>
      <c r="M2" s="5" t="s">
        <v>35</v>
      </c>
      <c r="N2" s="5" t="s">
        <v>17</v>
      </c>
      <c r="P2" s="6"/>
      <c r="T2" s="5" t="s">
        <v>33</v>
      </c>
      <c r="U2" s="5" t="s">
        <v>34</v>
      </c>
      <c r="V2" s="5" t="s">
        <v>35</v>
      </c>
      <c r="W2" s="5" t="s">
        <v>17</v>
      </c>
      <c r="AC2" s="5" t="s">
        <v>33</v>
      </c>
      <c r="AD2" s="5" t="s">
        <v>34</v>
      </c>
      <c r="AE2" s="5" t="s">
        <v>35</v>
      </c>
      <c r="AF2" s="5" t="s">
        <v>17</v>
      </c>
    </row>
    <row r="3" spans="1:32" ht="15.75" customHeight="1" x14ac:dyDescent="0.15">
      <c r="A3" s="5" t="s">
        <v>10</v>
      </c>
      <c r="B3" s="4">
        <v>0</v>
      </c>
      <c r="C3" s="4">
        <v>0</v>
      </c>
      <c r="D3" s="5">
        <v>11035.98531</v>
      </c>
      <c r="E3" s="5">
        <v>0</v>
      </c>
      <c r="J3" s="5" t="s">
        <v>10</v>
      </c>
      <c r="K3" s="4">
        <v>0</v>
      </c>
      <c r="L3" s="4">
        <v>0</v>
      </c>
      <c r="M3" s="4">
        <f>L6</f>
        <v>11035.98531</v>
      </c>
      <c r="N3" s="4">
        <f t="shared" ref="N3:N30" si="0">K3</f>
        <v>0</v>
      </c>
      <c r="P3" s="6"/>
      <c r="S3" s="5" t="s">
        <v>10</v>
      </c>
      <c r="T3" s="4">
        <v>0</v>
      </c>
      <c r="U3" s="4">
        <v>0</v>
      </c>
      <c r="V3" s="4">
        <f>U6</f>
        <v>11035.98531</v>
      </c>
      <c r="W3" s="4">
        <f t="shared" ref="W3:W30" si="1">T3</f>
        <v>0</v>
      </c>
      <c r="AB3" s="5" t="s">
        <v>10</v>
      </c>
      <c r="AC3" s="4">
        <v>0</v>
      </c>
      <c r="AD3" s="4">
        <v>0</v>
      </c>
      <c r="AE3" s="4">
        <f>AD6</f>
        <v>11035.98531</v>
      </c>
      <c r="AF3" s="4">
        <f t="shared" ref="AF3:AF30" si="2">AC3</f>
        <v>0</v>
      </c>
    </row>
    <row r="4" spans="1:32" ht="15.75" customHeight="1" x14ac:dyDescent="0.15">
      <c r="A4" s="5" t="s">
        <v>14</v>
      </c>
      <c r="B4" s="4">
        <v>0</v>
      </c>
      <c r="C4" s="4">
        <v>0</v>
      </c>
      <c r="D4" s="5">
        <v>3164.0786109999999</v>
      </c>
      <c r="E4" s="5">
        <v>0</v>
      </c>
      <c r="J4" s="5" t="s">
        <v>14</v>
      </c>
      <c r="K4" s="4">
        <v>0</v>
      </c>
      <c r="L4" s="4">
        <v>0</v>
      </c>
      <c r="M4" s="4">
        <f>SUM(L7:L11)</f>
        <v>3164.0786109999995</v>
      </c>
      <c r="N4" s="4">
        <f t="shared" si="0"/>
        <v>0</v>
      </c>
      <c r="P4" s="6"/>
      <c r="S4" s="5" t="s">
        <v>14</v>
      </c>
      <c r="T4" s="4">
        <v>0</v>
      </c>
      <c r="U4" s="4">
        <v>0</v>
      </c>
      <c r="V4" s="4">
        <f>SUM(U7:U11)</f>
        <v>3164.0786109999999</v>
      </c>
      <c r="W4" s="4">
        <f t="shared" si="1"/>
        <v>0</v>
      </c>
      <c r="AB4" s="5" t="s">
        <v>14</v>
      </c>
      <c r="AC4" s="4">
        <v>0</v>
      </c>
      <c r="AD4" s="4">
        <v>0</v>
      </c>
      <c r="AE4" s="4">
        <f>SUM(AD7:AD11)</f>
        <v>3164.0786109999999</v>
      </c>
      <c r="AF4" s="4">
        <f t="shared" si="2"/>
        <v>0</v>
      </c>
    </row>
    <row r="5" spans="1:32" ht="15.75" customHeight="1" x14ac:dyDescent="0.15">
      <c r="A5" s="5" t="s">
        <v>15</v>
      </c>
      <c r="B5" s="4">
        <v>0</v>
      </c>
      <c r="C5" s="4">
        <v>0</v>
      </c>
      <c r="D5" s="5">
        <v>5273.4643509999996</v>
      </c>
      <c r="E5" s="5">
        <v>0</v>
      </c>
      <c r="J5" s="5" t="s">
        <v>15</v>
      </c>
      <c r="K5" s="4">
        <v>0</v>
      </c>
      <c r="L5" s="4">
        <v>0</v>
      </c>
      <c r="M5" s="4">
        <f>SUM(L12:L17)</f>
        <v>5273.4643509999996</v>
      </c>
      <c r="N5" s="4">
        <f t="shared" si="0"/>
        <v>0</v>
      </c>
      <c r="P5" s="6"/>
      <c r="S5" s="5" t="s">
        <v>15</v>
      </c>
      <c r="T5" s="4">
        <v>0</v>
      </c>
      <c r="U5" s="4">
        <v>0</v>
      </c>
      <c r="V5" s="4">
        <f>SUM(U12:U17)</f>
        <v>5273.4643509999996</v>
      </c>
      <c r="W5" s="4">
        <f t="shared" si="1"/>
        <v>0</v>
      </c>
      <c r="AB5" s="5" t="s">
        <v>15</v>
      </c>
      <c r="AC5" s="4">
        <v>0</v>
      </c>
      <c r="AD5" s="4">
        <v>0</v>
      </c>
      <c r="AE5" s="4">
        <f>SUM(AD12:AD17)</f>
        <v>5273.4643509999996</v>
      </c>
      <c r="AF5" s="4">
        <f t="shared" si="2"/>
        <v>0</v>
      </c>
    </row>
    <row r="6" spans="1:32" ht="15.75" customHeight="1" x14ac:dyDescent="0.15">
      <c r="A6" s="5" t="s">
        <v>38</v>
      </c>
      <c r="B6" s="4">
        <v>0</v>
      </c>
      <c r="C6" s="4">
        <f>69526.409/(1102.8+59.186+981.72+69526.409+176167.8+505.27+88.2+190.8+73.4+921)*D$3</f>
        <v>3073.8840064695701</v>
      </c>
      <c r="D6" s="5">
        <v>0</v>
      </c>
      <c r="E6" s="5">
        <v>0</v>
      </c>
      <c r="J6" s="5" t="s">
        <v>38</v>
      </c>
      <c r="K6" s="4">
        <v>0</v>
      </c>
      <c r="L6" s="4">
        <f t="shared" ref="L6:L12" si="3">K18</f>
        <v>11035.98531</v>
      </c>
      <c r="M6" s="5">
        <v>0</v>
      </c>
      <c r="N6" s="4">
        <f t="shared" si="0"/>
        <v>0</v>
      </c>
      <c r="P6" s="6"/>
      <c r="S6" s="5" t="s">
        <v>38</v>
      </c>
      <c r="T6" s="4">
        <v>0</v>
      </c>
      <c r="U6" s="4">
        <f t="shared" ref="U6:U13" si="4">T18</f>
        <v>11035.98531</v>
      </c>
      <c r="V6" s="5">
        <v>0</v>
      </c>
      <c r="W6" s="4">
        <f t="shared" si="1"/>
        <v>0</v>
      </c>
      <c r="AB6" s="5" t="s">
        <v>38</v>
      </c>
      <c r="AC6" s="4">
        <v>0</v>
      </c>
      <c r="AD6" s="4">
        <f t="shared" ref="AD6:AD13" si="5">AC18</f>
        <v>11035.98531</v>
      </c>
      <c r="AE6" s="5">
        <v>0</v>
      </c>
      <c r="AF6" s="4">
        <f t="shared" si="2"/>
        <v>0</v>
      </c>
    </row>
    <row r="7" spans="1:32" ht="15.75" customHeight="1" x14ac:dyDescent="0.15">
      <c r="A7" s="5" t="s">
        <v>251</v>
      </c>
      <c r="B7" s="4">
        <v>0</v>
      </c>
      <c r="C7" s="4">
        <f>176167.8/(1102.8+59.186+981.72+69526.409+176167.8+505.27+88.2+190.8+73.4+921)*D$3</f>
        <v>7788.6862080699411</v>
      </c>
      <c r="D7" s="5">
        <v>0</v>
      </c>
      <c r="E7" s="5">
        <v>0</v>
      </c>
      <c r="J7" s="5" t="s">
        <v>252</v>
      </c>
      <c r="K7" s="4">
        <v>0</v>
      </c>
      <c r="L7" s="4">
        <f t="shared" si="3"/>
        <v>149.4</v>
      </c>
      <c r="M7" s="5">
        <v>0</v>
      </c>
      <c r="N7" s="4">
        <f t="shared" si="0"/>
        <v>0</v>
      </c>
      <c r="P7" s="6"/>
      <c r="Q7" s="6"/>
      <c r="R7" s="6"/>
      <c r="S7" s="5" t="s">
        <v>78</v>
      </c>
      <c r="T7" s="4">
        <v>0</v>
      </c>
      <c r="U7" s="4">
        <f t="shared" si="4"/>
        <v>642.94799999999998</v>
      </c>
      <c r="V7" s="5">
        <v>0</v>
      </c>
      <c r="W7" s="4">
        <f t="shared" si="1"/>
        <v>0</v>
      </c>
      <c r="AB7" s="5" t="s">
        <v>78</v>
      </c>
      <c r="AC7" s="4">
        <v>0</v>
      </c>
      <c r="AD7" s="4">
        <f t="shared" si="5"/>
        <v>642.94799999999998</v>
      </c>
      <c r="AE7" s="5">
        <v>0</v>
      </c>
      <c r="AF7" s="4">
        <f t="shared" si="2"/>
        <v>0</v>
      </c>
    </row>
    <row r="8" spans="1:32" ht="15.75" customHeight="1" x14ac:dyDescent="0.15">
      <c r="A8" s="5" t="s">
        <v>253</v>
      </c>
      <c r="B8" s="4">
        <v>0</v>
      </c>
      <c r="C8" s="4">
        <f>1102.8/(1102.8+59.186+981.72+69526.409+176167.8+505.27+88.2+190.8+73.4+921)*D$3</f>
        <v>48.756714622419821</v>
      </c>
      <c r="D8" s="5">
        <v>0</v>
      </c>
      <c r="E8" s="5">
        <v>0</v>
      </c>
      <c r="J8" s="5" t="s">
        <v>254</v>
      </c>
      <c r="K8" s="4">
        <v>0</v>
      </c>
      <c r="L8" s="4">
        <f t="shared" si="3"/>
        <v>442.8</v>
      </c>
      <c r="M8" s="5">
        <v>0</v>
      </c>
      <c r="N8" s="4">
        <f t="shared" si="0"/>
        <v>0</v>
      </c>
      <c r="P8" s="6"/>
      <c r="Q8" s="6"/>
      <c r="R8" s="6"/>
      <c r="S8" s="5" t="s">
        <v>254</v>
      </c>
      <c r="T8" s="4">
        <v>0</v>
      </c>
      <c r="U8" s="4">
        <f t="shared" si="4"/>
        <v>442.8</v>
      </c>
      <c r="V8" s="5">
        <v>0</v>
      </c>
      <c r="W8" s="4">
        <f t="shared" si="1"/>
        <v>0</v>
      </c>
      <c r="AB8" s="5" t="s">
        <v>254</v>
      </c>
      <c r="AC8" s="4">
        <v>0</v>
      </c>
      <c r="AD8" s="4">
        <f t="shared" si="5"/>
        <v>0</v>
      </c>
      <c r="AE8" s="5">
        <v>0</v>
      </c>
      <c r="AF8" s="4">
        <f t="shared" si="2"/>
        <v>0</v>
      </c>
    </row>
    <row r="9" spans="1:32" ht="15.75" customHeight="1" x14ac:dyDescent="0.15">
      <c r="A9" s="5" t="s">
        <v>255</v>
      </c>
      <c r="B9" s="4">
        <v>0</v>
      </c>
      <c r="C9" s="4">
        <f>59.186/(1102.8+59.186+981.72+69526.409+176167.8+505.27+88.2+190.8+73.4+921)*D$3</f>
        <v>2.6167164595960646</v>
      </c>
      <c r="D9" s="5">
        <v>0</v>
      </c>
      <c r="E9" s="5">
        <v>0</v>
      </c>
      <c r="J9" s="5" t="s">
        <v>123</v>
      </c>
      <c r="K9" s="4">
        <v>0</v>
      </c>
      <c r="L9" s="4">
        <f t="shared" si="3"/>
        <v>2082.2786109999997</v>
      </c>
      <c r="M9" s="5">
        <v>0</v>
      </c>
      <c r="N9" s="4">
        <f t="shared" si="0"/>
        <v>0</v>
      </c>
      <c r="P9" s="6"/>
      <c r="Q9" s="6"/>
      <c r="R9" s="6"/>
      <c r="S9" s="5" t="s">
        <v>123</v>
      </c>
      <c r="T9" s="4">
        <v>0</v>
      </c>
      <c r="U9" s="4">
        <f t="shared" si="4"/>
        <v>1588.730611</v>
      </c>
      <c r="V9" s="5">
        <v>0</v>
      </c>
      <c r="W9" s="4">
        <f t="shared" si="1"/>
        <v>0</v>
      </c>
      <c r="AB9" s="5" t="s">
        <v>123</v>
      </c>
      <c r="AC9" s="4">
        <v>0</v>
      </c>
      <c r="AD9" s="4">
        <f t="shared" si="5"/>
        <v>2521.130611</v>
      </c>
      <c r="AE9" s="5">
        <v>0</v>
      </c>
      <c r="AF9" s="4">
        <f t="shared" si="2"/>
        <v>0</v>
      </c>
    </row>
    <row r="10" spans="1:32" ht="15.75" customHeight="1" x14ac:dyDescent="0.15">
      <c r="A10" s="5" t="s">
        <v>256</v>
      </c>
      <c r="B10" s="4">
        <v>0</v>
      </c>
      <c r="C10" s="4">
        <f>981.72/(1102.8+59.186+981.72+69526.409+176167.8+505.27+88.2+190.8+73.4+921)*D$3</f>
        <v>43.403556292276022</v>
      </c>
      <c r="D10" s="5">
        <v>0</v>
      </c>
      <c r="E10" s="5">
        <v>0</v>
      </c>
      <c r="J10" s="5" t="s">
        <v>257</v>
      </c>
      <c r="K10" s="4">
        <v>0</v>
      </c>
      <c r="L10" s="4">
        <f t="shared" si="3"/>
        <v>165.6</v>
      </c>
      <c r="M10" s="5">
        <v>0</v>
      </c>
      <c r="N10" s="4">
        <f t="shared" si="0"/>
        <v>0</v>
      </c>
      <c r="P10" s="6"/>
      <c r="Q10" s="6"/>
      <c r="R10" s="6"/>
      <c r="S10" s="5" t="s">
        <v>257</v>
      </c>
      <c r="T10" s="4">
        <v>0</v>
      </c>
      <c r="U10" s="4">
        <f t="shared" si="4"/>
        <v>165.6</v>
      </c>
      <c r="V10" s="5">
        <v>0</v>
      </c>
      <c r="W10" s="4">
        <f t="shared" si="1"/>
        <v>0</v>
      </c>
      <c r="AB10" s="5" t="s">
        <v>257</v>
      </c>
      <c r="AC10" s="4">
        <v>0</v>
      </c>
      <c r="AD10" s="4">
        <f t="shared" si="5"/>
        <v>0</v>
      </c>
      <c r="AE10" s="5">
        <v>0</v>
      </c>
      <c r="AF10" s="4">
        <f t="shared" si="2"/>
        <v>0</v>
      </c>
    </row>
    <row r="11" spans="1:32" ht="15.75" customHeight="1" x14ac:dyDescent="0.15">
      <c r="A11" s="5" t="s">
        <v>128</v>
      </c>
      <c r="B11" s="4">
        <v>0</v>
      </c>
      <c r="C11" s="4">
        <f>505.27/(1102.8+59.186+981.72+69526.409+176167.8+505.27+88.2+190.8+73.4+921)*D$3</f>
        <v>22.338869420810724</v>
      </c>
      <c r="D11" s="5">
        <v>0</v>
      </c>
      <c r="E11" s="5">
        <v>0</v>
      </c>
      <c r="J11" s="5" t="s">
        <v>258</v>
      </c>
      <c r="K11" s="4">
        <v>0</v>
      </c>
      <c r="L11" s="4">
        <f t="shared" si="3"/>
        <v>324</v>
      </c>
      <c r="M11" s="5">
        <v>0</v>
      </c>
      <c r="N11" s="4">
        <f t="shared" si="0"/>
        <v>0</v>
      </c>
      <c r="S11" s="5" t="s">
        <v>258</v>
      </c>
      <c r="T11" s="4">
        <v>0</v>
      </c>
      <c r="U11" s="4">
        <f t="shared" si="4"/>
        <v>324</v>
      </c>
      <c r="V11" s="5">
        <v>0</v>
      </c>
      <c r="W11" s="4">
        <f t="shared" si="1"/>
        <v>0</v>
      </c>
      <c r="AB11" s="5" t="s">
        <v>258</v>
      </c>
      <c r="AC11" s="4">
        <v>0</v>
      </c>
      <c r="AD11" s="4">
        <f t="shared" si="5"/>
        <v>0</v>
      </c>
      <c r="AE11" s="5">
        <v>0</v>
      </c>
      <c r="AF11" s="4">
        <f t="shared" si="2"/>
        <v>0</v>
      </c>
    </row>
    <row r="12" spans="1:32" ht="15.75" customHeight="1" x14ac:dyDescent="0.15">
      <c r="A12" s="5" t="s">
        <v>259</v>
      </c>
      <c r="B12" s="4">
        <v>0</v>
      </c>
      <c r="C12" s="4">
        <f>88.2/(1102.8+59.186+981.72+69526.409+176167.8+505.27+88.2+190.8+73.4+921)*D$3</f>
        <v>3.8994760878649153</v>
      </c>
      <c r="D12" s="5">
        <v>0</v>
      </c>
      <c r="E12" s="5">
        <v>0</v>
      </c>
      <c r="J12" s="5" t="s">
        <v>182</v>
      </c>
      <c r="K12" s="4">
        <v>0</v>
      </c>
      <c r="L12" s="4">
        <f t="shared" si="3"/>
        <v>610.81899999999996</v>
      </c>
      <c r="M12" s="5">
        <v>0</v>
      </c>
      <c r="N12" s="4">
        <f t="shared" si="0"/>
        <v>0</v>
      </c>
      <c r="P12" s="6"/>
      <c r="Q12" s="6"/>
      <c r="R12" s="6"/>
      <c r="S12" s="5" t="s">
        <v>80</v>
      </c>
      <c r="T12" s="4">
        <v>0</v>
      </c>
      <c r="U12" s="4">
        <f t="shared" si="4"/>
        <v>1890.269</v>
      </c>
      <c r="V12" s="5">
        <v>0</v>
      </c>
      <c r="W12" s="4">
        <f t="shared" si="1"/>
        <v>0</v>
      </c>
      <c r="AB12" s="5" t="s">
        <v>80</v>
      </c>
      <c r="AC12" s="4">
        <v>0</v>
      </c>
      <c r="AD12" s="4">
        <f t="shared" si="5"/>
        <v>1890.269</v>
      </c>
      <c r="AE12" s="5">
        <v>0</v>
      </c>
      <c r="AF12" s="4">
        <f t="shared" si="2"/>
        <v>0</v>
      </c>
    </row>
    <row r="13" spans="1:32" ht="15.75" customHeight="1" x14ac:dyDescent="0.15">
      <c r="A13" s="5" t="s">
        <v>260</v>
      </c>
      <c r="B13" s="4">
        <v>0</v>
      </c>
      <c r="C13" s="4">
        <f>190.8/(1102.8+59.186+981.72+69526.409+176167.8+505.27+88.2+190.8+73.4+921)*D$3</f>
        <v>8.4356013329322668</v>
      </c>
      <c r="D13" s="5">
        <v>0</v>
      </c>
      <c r="E13" s="5">
        <v>0</v>
      </c>
      <c r="J13" s="5" t="s">
        <v>261</v>
      </c>
      <c r="K13" s="4">
        <v>0</v>
      </c>
      <c r="L13" s="4">
        <f>K25+K26</f>
        <v>1523.4</v>
      </c>
      <c r="M13" s="5">
        <v>0</v>
      </c>
      <c r="N13" s="4">
        <f t="shared" si="0"/>
        <v>0</v>
      </c>
      <c r="P13" s="6"/>
      <c r="Q13" s="6"/>
      <c r="R13" s="6"/>
      <c r="S13" s="5" t="s">
        <v>182</v>
      </c>
      <c r="T13" s="4">
        <v>0</v>
      </c>
      <c r="U13" s="4">
        <f t="shared" si="4"/>
        <v>610.81899999999996</v>
      </c>
      <c r="V13" s="5">
        <v>0</v>
      </c>
      <c r="W13" s="4">
        <f t="shared" si="1"/>
        <v>0</v>
      </c>
      <c r="AB13" s="5" t="s">
        <v>182</v>
      </c>
      <c r="AC13" s="4">
        <v>0</v>
      </c>
      <c r="AD13" s="4">
        <f t="shared" si="5"/>
        <v>610.81899999999996</v>
      </c>
      <c r="AE13" s="5">
        <v>0</v>
      </c>
      <c r="AF13" s="4">
        <f t="shared" si="2"/>
        <v>0</v>
      </c>
    </row>
    <row r="14" spans="1:32" ht="15.75" customHeight="1" x14ac:dyDescent="0.15">
      <c r="A14" s="5" t="s">
        <v>132</v>
      </c>
      <c r="B14" s="4">
        <v>0</v>
      </c>
      <c r="C14" s="4">
        <f>73.4/(1102.8+59.186+981.72+69526.409+176167.8+505.27+88.2+190.8+73.4+921)*D$3</f>
        <v>3.2451422318513021</v>
      </c>
      <c r="D14" s="5">
        <v>0</v>
      </c>
      <c r="E14" s="5">
        <v>0</v>
      </c>
      <c r="J14" s="5" t="s">
        <v>262</v>
      </c>
      <c r="K14" s="4">
        <v>0</v>
      </c>
      <c r="L14" s="4">
        <f t="shared" ref="L14:L17" si="6">K27</f>
        <v>117.6</v>
      </c>
      <c r="M14" s="5">
        <v>0</v>
      </c>
      <c r="N14" s="4">
        <f t="shared" si="0"/>
        <v>0</v>
      </c>
      <c r="S14" s="5" t="s">
        <v>261</v>
      </c>
      <c r="T14" s="4">
        <v>0</v>
      </c>
      <c r="U14" s="4">
        <f>T26+T27</f>
        <v>912.58100000000013</v>
      </c>
      <c r="V14" s="5">
        <v>0</v>
      </c>
      <c r="W14" s="4">
        <f t="shared" si="1"/>
        <v>0</v>
      </c>
      <c r="AB14" s="5" t="s">
        <v>261</v>
      </c>
      <c r="AC14" s="4">
        <v>0</v>
      </c>
      <c r="AD14" s="4">
        <f>AC26+AC27</f>
        <v>912.58100000000013</v>
      </c>
      <c r="AE14" s="5">
        <v>0</v>
      </c>
      <c r="AF14" s="4">
        <f t="shared" si="2"/>
        <v>0</v>
      </c>
    </row>
    <row r="15" spans="1:32" ht="15.75" customHeight="1" x14ac:dyDescent="0.15">
      <c r="A15" s="5" t="s">
        <v>263</v>
      </c>
      <c r="B15" s="4">
        <v>0</v>
      </c>
      <c r="C15" s="4">
        <f>921/(1102.8+59.186+981.72+69526.409+176167.8+505.27+88.2+190.8+73.4+921)*D$3</f>
        <v>40.719019012739082</v>
      </c>
      <c r="D15" s="5">
        <v>0</v>
      </c>
      <c r="E15" s="5">
        <v>0</v>
      </c>
      <c r="J15" s="5" t="s">
        <v>264</v>
      </c>
      <c r="K15" s="4">
        <v>0</v>
      </c>
      <c r="L15" s="4">
        <f t="shared" si="6"/>
        <v>56.4</v>
      </c>
      <c r="M15" s="5">
        <v>0</v>
      </c>
      <c r="N15" s="4">
        <f t="shared" si="0"/>
        <v>0</v>
      </c>
      <c r="P15" s="6"/>
      <c r="Q15" s="6"/>
      <c r="R15" s="6"/>
      <c r="S15" s="5" t="s">
        <v>264</v>
      </c>
      <c r="T15" s="4">
        <v>0</v>
      </c>
      <c r="U15" s="4">
        <f t="shared" ref="U15:U17" si="7">T28</f>
        <v>0</v>
      </c>
      <c r="V15" s="5">
        <v>0</v>
      </c>
      <c r="W15" s="4">
        <f t="shared" si="1"/>
        <v>0</v>
      </c>
      <c r="AB15" s="5" t="s">
        <v>264</v>
      </c>
      <c r="AC15" s="4">
        <v>0</v>
      </c>
      <c r="AD15" s="4">
        <f t="shared" ref="AD15:AD17" si="8">AC28</f>
        <v>0</v>
      </c>
      <c r="AE15" s="5">
        <v>0</v>
      </c>
      <c r="AF15" s="4">
        <f t="shared" si="2"/>
        <v>0</v>
      </c>
    </row>
    <row r="16" spans="1:32" ht="15.75" customHeight="1" x14ac:dyDescent="0.15">
      <c r="A16" s="5" t="s">
        <v>78</v>
      </c>
      <c r="B16" s="4">
        <v>0</v>
      </c>
      <c r="C16" s="4">
        <f>(642.948-614.887)/(149.4+118.371+442.8+642.948-614.887+3102.241+0.13+83.456+165.6+324+253.2+32.88+109.2)*D$4</f>
        <v>18.461416403225289</v>
      </c>
      <c r="J16" s="5" t="s">
        <v>265</v>
      </c>
      <c r="K16" s="4">
        <v>0</v>
      </c>
      <c r="L16" s="4">
        <f t="shared" si="6"/>
        <v>25.8</v>
      </c>
      <c r="M16" s="5">
        <v>0</v>
      </c>
      <c r="N16" s="4">
        <f t="shared" si="0"/>
        <v>0</v>
      </c>
      <c r="P16" s="6"/>
      <c r="Q16" s="6"/>
      <c r="R16" s="6"/>
      <c r="S16" s="5" t="s">
        <v>265</v>
      </c>
      <c r="T16" s="4">
        <v>0</v>
      </c>
      <c r="U16" s="4">
        <f t="shared" si="7"/>
        <v>0</v>
      </c>
      <c r="V16" s="5">
        <v>0</v>
      </c>
      <c r="W16" s="4">
        <f t="shared" si="1"/>
        <v>0</v>
      </c>
      <c r="AB16" s="5" t="s">
        <v>265</v>
      </c>
      <c r="AC16" s="4">
        <v>0</v>
      </c>
      <c r="AD16" s="4">
        <f t="shared" si="8"/>
        <v>0</v>
      </c>
      <c r="AE16" s="5">
        <v>0</v>
      </c>
      <c r="AF16" s="4">
        <f t="shared" si="2"/>
        <v>0</v>
      </c>
    </row>
    <row r="17" spans="1:34" ht="15.75" customHeight="1" outlineLevel="1" x14ac:dyDescent="0.15">
      <c r="A17" s="5" t="s">
        <v>179</v>
      </c>
      <c r="B17" s="4">
        <v>0</v>
      </c>
      <c r="C17" s="4">
        <f>83.456/(149.4+118.371+442.8+642.948-614.887+3102.241+0.13+83.456+165.6+324+253.2+32.88+109.2)*D$4</f>
        <v>54.905953720379458</v>
      </c>
      <c r="J17" s="5" t="s">
        <v>87</v>
      </c>
      <c r="K17" s="4">
        <v>0</v>
      </c>
      <c r="L17" s="4">
        <f t="shared" si="6"/>
        <v>2939.4453509999994</v>
      </c>
      <c r="M17" s="5">
        <v>0</v>
      </c>
      <c r="N17" s="4">
        <f t="shared" si="0"/>
        <v>0</v>
      </c>
      <c r="P17" s="6"/>
      <c r="Q17" s="6"/>
      <c r="R17" s="6"/>
      <c r="S17" s="5" t="s">
        <v>87</v>
      </c>
      <c r="T17" s="4">
        <v>0</v>
      </c>
      <c r="U17" s="4">
        <f t="shared" si="7"/>
        <v>1859.7953509999998</v>
      </c>
      <c r="V17" s="5">
        <v>0</v>
      </c>
      <c r="W17" s="4">
        <f t="shared" si="1"/>
        <v>0</v>
      </c>
      <c r="AB17" s="5" t="s">
        <v>87</v>
      </c>
      <c r="AC17" s="4">
        <v>0</v>
      </c>
      <c r="AD17" s="4">
        <f t="shared" si="8"/>
        <v>1859.7953509999998</v>
      </c>
      <c r="AE17" s="5">
        <v>0</v>
      </c>
      <c r="AF17" s="4">
        <f t="shared" si="2"/>
        <v>0</v>
      </c>
    </row>
    <row r="18" spans="1:34" ht="15.75" customHeight="1" x14ac:dyDescent="0.15">
      <c r="A18" s="5" t="s">
        <v>252</v>
      </c>
      <c r="B18" s="4">
        <v>0</v>
      </c>
      <c r="C18" s="4">
        <f>149.4/(149.4+118.371+442.8+642.948-614.887+3102.241+0.13+83.456+165.6+324+253.2+32.88+109.2)*D$4</f>
        <v>98.290709904916255</v>
      </c>
      <c r="F18" s="5" t="s">
        <v>63</v>
      </c>
      <c r="G18" s="8">
        <f>D3/SUM(D3:D5)</f>
        <v>0.56671729723822495</v>
      </c>
      <c r="J18" s="5" t="s">
        <v>50</v>
      </c>
      <c r="K18" s="4">
        <v>11035.98531</v>
      </c>
      <c r="L18" s="4">
        <v>0</v>
      </c>
      <c r="M18" s="5">
        <v>0</v>
      </c>
      <c r="N18" s="4">
        <f t="shared" si="0"/>
        <v>11035.98531</v>
      </c>
      <c r="S18" s="5" t="s">
        <v>50</v>
      </c>
      <c r="T18" s="4">
        <v>11035.98531</v>
      </c>
      <c r="U18" s="4">
        <v>0</v>
      </c>
      <c r="V18" s="5">
        <v>0</v>
      </c>
      <c r="W18" s="4">
        <f t="shared" si="1"/>
        <v>11035.98531</v>
      </c>
      <c r="AB18" s="5" t="s">
        <v>50</v>
      </c>
      <c r="AC18" s="4">
        <v>11035.98531</v>
      </c>
      <c r="AD18" s="4">
        <v>0</v>
      </c>
      <c r="AE18" s="5">
        <v>0</v>
      </c>
      <c r="AF18" s="4">
        <f t="shared" si="2"/>
        <v>11035.98531</v>
      </c>
    </row>
    <row r="19" spans="1:34" ht="15.75" customHeight="1" x14ac:dyDescent="0.15">
      <c r="A19" s="5" t="s">
        <v>266</v>
      </c>
      <c r="B19" s="4">
        <v>0</v>
      </c>
      <c r="C19" s="4">
        <f>118.371/(149.4+118.371+442.8+642.948-614.887+3102.241+0.13+83.456+165.6+324+253.2+32.88+109.2)*D$4</f>
        <v>77.87663736382089</v>
      </c>
      <c r="D19" s="5">
        <v>0</v>
      </c>
      <c r="E19" s="5">
        <v>0</v>
      </c>
      <c r="F19" s="5" t="s">
        <v>65</v>
      </c>
      <c r="G19" s="8">
        <f>(C6+C16+C28)/SUM(D3:D5)</f>
        <v>0.26921003288864948</v>
      </c>
      <c r="J19" s="5" t="s">
        <v>267</v>
      </c>
      <c r="K19" s="4">
        <v>149.4</v>
      </c>
      <c r="L19" s="4">
        <v>0</v>
      </c>
      <c r="M19" s="5">
        <v>0</v>
      </c>
      <c r="N19" s="4">
        <f t="shared" si="0"/>
        <v>149.4</v>
      </c>
      <c r="P19" s="6"/>
      <c r="Q19" s="6"/>
      <c r="R19" s="6"/>
      <c r="S19" s="5" t="s">
        <v>83</v>
      </c>
      <c r="T19" s="4">
        <v>642.94799999999998</v>
      </c>
      <c r="U19" s="4">
        <v>0</v>
      </c>
      <c r="V19" s="5">
        <v>0</v>
      </c>
      <c r="W19" s="4">
        <f t="shared" si="1"/>
        <v>642.94799999999998</v>
      </c>
      <c r="AB19" s="5" t="s">
        <v>83</v>
      </c>
      <c r="AC19" s="4">
        <v>642.94799999999998</v>
      </c>
      <c r="AD19" s="4">
        <v>0</v>
      </c>
      <c r="AE19" s="5">
        <v>0</v>
      </c>
      <c r="AF19" s="4">
        <f t="shared" si="2"/>
        <v>642.94799999999998</v>
      </c>
    </row>
    <row r="20" spans="1:34" ht="15.75" customHeight="1" x14ac:dyDescent="0.15">
      <c r="A20" s="5" t="s">
        <v>254</v>
      </c>
      <c r="B20" s="4">
        <v>0</v>
      </c>
      <c r="C20" s="4">
        <f>442.8/(149.4+118.371+442.8+642.948-614.887+3102.241+0.13+83.456+165.6+324+253.2+32.88+109.2)*D$4</f>
        <v>291.31945345312522</v>
      </c>
      <c r="D20" s="5">
        <v>0</v>
      </c>
      <c r="E20" s="5">
        <v>0</v>
      </c>
      <c r="F20" s="5" t="s">
        <v>67</v>
      </c>
      <c r="G20" s="8">
        <f>(B40+B52+B66)/SUM(D3:D5)</f>
        <v>5.7084795975371333E-2</v>
      </c>
      <c r="J20" s="5" t="s">
        <v>268</v>
      </c>
      <c r="K20" s="4">
        <v>442.8</v>
      </c>
      <c r="L20" s="4">
        <v>0</v>
      </c>
      <c r="M20" s="5">
        <v>0</v>
      </c>
      <c r="N20" s="4">
        <f t="shared" si="0"/>
        <v>442.8</v>
      </c>
      <c r="P20" s="6"/>
      <c r="Q20" s="6"/>
      <c r="R20" s="6"/>
      <c r="S20" s="5" t="s">
        <v>268</v>
      </c>
      <c r="T20" s="4">
        <v>442.8</v>
      </c>
      <c r="U20" s="4">
        <v>0</v>
      </c>
      <c r="V20" s="5">
        <v>0</v>
      </c>
      <c r="W20" s="4">
        <f t="shared" si="1"/>
        <v>442.8</v>
      </c>
      <c r="AB20" s="5" t="s">
        <v>268</v>
      </c>
      <c r="AC20" s="4">
        <v>0</v>
      </c>
      <c r="AD20" s="4">
        <v>0</v>
      </c>
      <c r="AE20" s="5">
        <v>0</v>
      </c>
      <c r="AF20" s="4">
        <f t="shared" si="2"/>
        <v>0</v>
      </c>
      <c r="AH20" s="5">
        <f>SUM(AD7,AD12,AD17)/SUM(AE3:AE5)</f>
        <v>0.22558892716511417</v>
      </c>
    </row>
    <row r="21" spans="1:34" ht="15.75" customHeight="1" x14ac:dyDescent="0.15">
      <c r="A21" s="5" t="s">
        <v>123</v>
      </c>
      <c r="B21" s="4">
        <v>0</v>
      </c>
      <c r="C21" s="4">
        <f>3102.241/(149.4+118.371+442.8+642.948-614.887+3102.241+0.13+83.456+165.6+324+253.2+32.88+109.2)*D$4</f>
        <v>2040.9736960250154</v>
      </c>
      <c r="D21" s="5">
        <v>0</v>
      </c>
      <c r="E21" s="5">
        <v>0</v>
      </c>
      <c r="J21" s="5" t="s">
        <v>135</v>
      </c>
      <c r="K21" s="4">
        <f>3164.078611-K19-K20-K22-K23</f>
        <v>2082.2786109999997</v>
      </c>
      <c r="L21" s="4">
        <v>0</v>
      </c>
      <c r="M21" s="5">
        <v>0</v>
      </c>
      <c r="N21" s="4">
        <f t="shared" si="0"/>
        <v>2082.2786109999997</v>
      </c>
      <c r="S21" s="5" t="s">
        <v>135</v>
      </c>
      <c r="T21" s="4">
        <f>3164.078611-T19-T20-T22-T23</f>
        <v>1588.730611</v>
      </c>
      <c r="U21" s="4">
        <v>0</v>
      </c>
      <c r="V21" s="5">
        <v>0</v>
      </c>
      <c r="W21" s="4">
        <f t="shared" si="1"/>
        <v>1588.730611</v>
      </c>
      <c r="AB21" s="5" t="s">
        <v>135</v>
      </c>
      <c r="AC21" s="4">
        <f>3164.078611-AC19-AC20-AC22-AC23</f>
        <v>2521.130611</v>
      </c>
      <c r="AD21" s="4">
        <v>0</v>
      </c>
      <c r="AE21" s="5">
        <v>0</v>
      </c>
      <c r="AF21" s="4">
        <f t="shared" si="2"/>
        <v>2521.130611</v>
      </c>
      <c r="AH21" s="5">
        <f>SUM(AD9,AD13,AD14)/SUM(AE3:AE5)</f>
        <v>0.20769377559666094</v>
      </c>
    </row>
    <row r="22" spans="1:34" ht="15.75" customHeight="1" x14ac:dyDescent="0.15">
      <c r="A22" s="5" t="s">
        <v>180</v>
      </c>
      <c r="B22" s="9">
        <v>0</v>
      </c>
      <c r="C22" s="4">
        <f>0.13/(149.4+118.371+442.8+642.948-614.887+3102.241+0.13+83.456+165.6+324+253.2+32.88+109.2)*D$4</f>
        <v>8.5527391483528198E-2</v>
      </c>
      <c r="D22" s="5">
        <v>0</v>
      </c>
      <c r="E22" s="5">
        <v>0</v>
      </c>
      <c r="J22" s="5" t="s">
        <v>269</v>
      </c>
      <c r="K22" s="5">
        <v>165.6</v>
      </c>
      <c r="L22" s="4">
        <v>0</v>
      </c>
      <c r="M22" s="5">
        <v>0</v>
      </c>
      <c r="N22" s="5">
        <f t="shared" si="0"/>
        <v>165.6</v>
      </c>
      <c r="S22" s="5" t="s">
        <v>269</v>
      </c>
      <c r="T22" s="5">
        <v>165.6</v>
      </c>
      <c r="U22" s="4">
        <v>0</v>
      </c>
      <c r="V22" s="5">
        <v>0</v>
      </c>
      <c r="W22" s="5">
        <f t="shared" si="1"/>
        <v>165.6</v>
      </c>
      <c r="AB22" s="5" t="s">
        <v>269</v>
      </c>
      <c r="AC22" s="5">
        <v>0</v>
      </c>
      <c r="AD22" s="4">
        <v>0</v>
      </c>
      <c r="AE22" s="5">
        <v>0</v>
      </c>
      <c r="AF22" s="5">
        <f t="shared" si="2"/>
        <v>0</v>
      </c>
    </row>
    <row r="23" spans="1:34" ht="15.75" customHeight="1" x14ac:dyDescent="0.15">
      <c r="A23" s="5" t="s">
        <v>257</v>
      </c>
      <c r="B23" s="9">
        <v>0</v>
      </c>
      <c r="C23" s="4">
        <f>83.456/(149.4+118.371+442.8+642.948-614.887+3102.241+0.13+83.456+165.6+324+253.2+32.88+109.2)*D$4</f>
        <v>54.905953720379458</v>
      </c>
      <c r="D23" s="5">
        <v>0</v>
      </c>
      <c r="E23" s="5">
        <v>0</v>
      </c>
      <c r="J23" s="5" t="s">
        <v>270</v>
      </c>
      <c r="K23" s="5">
        <v>324</v>
      </c>
      <c r="L23" s="4">
        <v>0</v>
      </c>
      <c r="M23" s="5">
        <v>0</v>
      </c>
      <c r="N23" s="5">
        <f t="shared" si="0"/>
        <v>324</v>
      </c>
      <c r="P23" s="6"/>
      <c r="Q23" s="6"/>
      <c r="R23" s="6"/>
      <c r="S23" s="5" t="s">
        <v>270</v>
      </c>
      <c r="T23" s="5">
        <v>324</v>
      </c>
      <c r="U23" s="4">
        <v>0</v>
      </c>
      <c r="V23" s="5">
        <v>0</v>
      </c>
      <c r="W23" s="5">
        <f t="shared" si="1"/>
        <v>324</v>
      </c>
      <c r="AB23" s="5" t="s">
        <v>270</v>
      </c>
      <c r="AC23" s="5">
        <v>0</v>
      </c>
      <c r="AD23" s="4">
        <v>0</v>
      </c>
      <c r="AE23" s="5">
        <v>0</v>
      </c>
      <c r="AF23" s="5">
        <f t="shared" si="2"/>
        <v>0</v>
      </c>
    </row>
    <row r="24" spans="1:34" ht="15.75" customHeight="1" x14ac:dyDescent="0.15">
      <c r="A24" s="5" t="s">
        <v>258</v>
      </c>
      <c r="B24" s="9">
        <v>0</v>
      </c>
      <c r="C24" s="4">
        <f>324/(149.4+118.371+442.8+642.948-614.887+3102.241+0.13+83.456+165.6+324+253.2+32.88+109.2)*D$4</f>
        <v>213.16057569740872</v>
      </c>
      <c r="D24" s="5">
        <v>0</v>
      </c>
      <c r="E24" s="5">
        <v>0</v>
      </c>
      <c r="J24" s="5" t="s">
        <v>203</v>
      </c>
      <c r="K24" s="4">
        <v>610.81899999999996</v>
      </c>
      <c r="L24" s="4">
        <v>0</v>
      </c>
      <c r="M24" s="5">
        <v>0</v>
      </c>
      <c r="N24" s="4">
        <f t="shared" si="0"/>
        <v>610.81899999999996</v>
      </c>
      <c r="S24" s="5" t="s">
        <v>85</v>
      </c>
      <c r="T24" s="4">
        <v>1890.269</v>
      </c>
      <c r="U24" s="4">
        <v>0</v>
      </c>
      <c r="V24" s="5">
        <v>0</v>
      </c>
      <c r="W24" s="4">
        <f t="shared" si="1"/>
        <v>1890.269</v>
      </c>
      <c r="AB24" s="5" t="s">
        <v>85</v>
      </c>
      <c r="AC24" s="4">
        <v>1890.269</v>
      </c>
      <c r="AD24" s="4">
        <v>0</v>
      </c>
      <c r="AE24" s="5">
        <v>0</v>
      </c>
      <c r="AF24" s="4">
        <f t="shared" si="2"/>
        <v>1890.269</v>
      </c>
    </row>
    <row r="25" spans="1:34" ht="15.75" customHeight="1" x14ac:dyDescent="0.15">
      <c r="A25" s="5" t="s">
        <v>137</v>
      </c>
      <c r="B25" s="9">
        <v>0</v>
      </c>
      <c r="C25" s="4">
        <f>253.2/(149.4+118.371+442.8+642.948-614.887+3102.241+0.13+83.456+165.6+324+253.2+32.88+109.2)*D$4</f>
        <v>166.58104248945645</v>
      </c>
      <c r="D25" s="5">
        <v>0</v>
      </c>
      <c r="E25" s="5">
        <v>0</v>
      </c>
      <c r="J25" s="5" t="s">
        <v>271</v>
      </c>
      <c r="K25" s="4">
        <v>400</v>
      </c>
      <c r="L25" s="4">
        <v>0</v>
      </c>
      <c r="M25" s="5">
        <v>0</v>
      </c>
      <c r="N25" s="4">
        <f t="shared" si="0"/>
        <v>400</v>
      </c>
      <c r="S25" s="5" t="s">
        <v>203</v>
      </c>
      <c r="T25" s="4">
        <v>610.81899999999996</v>
      </c>
      <c r="U25" s="4">
        <v>0</v>
      </c>
      <c r="V25" s="5">
        <v>0</v>
      </c>
      <c r="W25" s="4">
        <f t="shared" si="1"/>
        <v>610.81899999999996</v>
      </c>
      <c r="AB25" s="5" t="s">
        <v>203</v>
      </c>
      <c r="AC25" s="4">
        <v>610.81899999999996</v>
      </c>
      <c r="AD25" s="4">
        <v>0</v>
      </c>
      <c r="AE25" s="5">
        <v>0</v>
      </c>
      <c r="AF25" s="4">
        <f t="shared" si="2"/>
        <v>610.81899999999996</v>
      </c>
    </row>
    <row r="26" spans="1:34" ht="15.75" customHeight="1" x14ac:dyDescent="0.15">
      <c r="A26" s="5" t="s">
        <v>142</v>
      </c>
      <c r="B26" s="9">
        <v>0</v>
      </c>
      <c r="C26" s="4">
        <f>32.88/(149.4+118.371+442.8+642.948-614.887+3102.241+0.13+83.456+165.6+324+253.2+32.88+109.2)*D$4</f>
        <v>21.631851015218515</v>
      </c>
      <c r="D26" s="5">
        <v>0</v>
      </c>
      <c r="E26" s="5">
        <v>0</v>
      </c>
      <c r="J26" s="5" t="s">
        <v>272</v>
      </c>
      <c r="K26" s="4">
        <f>1523.4-K25</f>
        <v>1123.4000000000001</v>
      </c>
      <c r="L26" s="4">
        <v>0</v>
      </c>
      <c r="M26" s="5">
        <v>0</v>
      </c>
      <c r="N26" s="4">
        <f t="shared" si="0"/>
        <v>1123.4000000000001</v>
      </c>
      <c r="S26" s="5" t="s">
        <v>271</v>
      </c>
      <c r="T26" s="4">
        <v>400</v>
      </c>
      <c r="U26" s="4">
        <v>0</v>
      </c>
      <c r="V26" s="5">
        <v>0</v>
      </c>
      <c r="W26" s="4">
        <f t="shared" si="1"/>
        <v>400</v>
      </c>
      <c r="AB26" s="5" t="s">
        <v>271</v>
      </c>
      <c r="AC26" s="4">
        <v>0</v>
      </c>
      <c r="AD26" s="4">
        <v>0</v>
      </c>
      <c r="AE26" s="5">
        <v>0</v>
      </c>
      <c r="AF26" s="4">
        <f t="shared" si="2"/>
        <v>0</v>
      </c>
    </row>
    <row r="27" spans="1:34" ht="15.75" customHeight="1" x14ac:dyDescent="0.15">
      <c r="A27" s="5" t="s">
        <v>273</v>
      </c>
      <c r="B27" s="9">
        <v>0</v>
      </c>
      <c r="C27" s="4">
        <f>109.2/(149.4+118.371+442.8+642.948-614.887+3102.241+0.13+83.456+165.6+324+253.2+32.88+109.2)*D$4</f>
        <v>71.843008846163684</v>
      </c>
      <c r="D27" s="5">
        <v>0</v>
      </c>
      <c r="E27" s="5">
        <v>0</v>
      </c>
      <c r="J27" s="5" t="s">
        <v>274</v>
      </c>
      <c r="K27" s="4">
        <v>117.6</v>
      </c>
      <c r="L27" s="4">
        <v>0</v>
      </c>
      <c r="M27" s="5">
        <v>0</v>
      </c>
      <c r="N27" s="4">
        <f t="shared" si="0"/>
        <v>117.6</v>
      </c>
      <c r="S27" s="5" t="s">
        <v>272</v>
      </c>
      <c r="T27" s="4">
        <f>1523.4-T25-T26</f>
        <v>512.58100000000013</v>
      </c>
      <c r="U27" s="4">
        <v>0</v>
      </c>
      <c r="V27" s="5">
        <v>0</v>
      </c>
      <c r="W27" s="4">
        <f t="shared" si="1"/>
        <v>512.58100000000013</v>
      </c>
      <c r="AB27" s="5" t="s">
        <v>272</v>
      </c>
      <c r="AC27" s="4">
        <f>1523.4-AC25-AC26</f>
        <v>912.58100000000013</v>
      </c>
      <c r="AD27" s="4">
        <v>0</v>
      </c>
      <c r="AE27" s="5">
        <v>0</v>
      </c>
      <c r="AF27" s="4">
        <f t="shared" si="2"/>
        <v>912.58100000000013</v>
      </c>
    </row>
    <row r="28" spans="1:34" ht="15.75" customHeight="1" x14ac:dyDescent="0.15">
      <c r="A28" s="5" t="s">
        <v>80</v>
      </c>
      <c r="B28" s="9">
        <v>0</v>
      </c>
      <c r="C28" s="4">
        <f>1890.269/(117.6+238.298+56.4+1890.269+1523.4+88.93+59.42+610.819+25.8+11.4+4.8+9)*D$5</f>
        <v>2150.1237636903702</v>
      </c>
      <c r="D28" s="5">
        <v>0</v>
      </c>
      <c r="E28" s="5">
        <v>0</v>
      </c>
      <c r="J28" s="5" t="s">
        <v>275</v>
      </c>
      <c r="K28" s="4">
        <v>56.4</v>
      </c>
      <c r="L28" s="4">
        <v>0</v>
      </c>
      <c r="M28" s="5">
        <v>0</v>
      </c>
      <c r="N28" s="4">
        <f t="shared" si="0"/>
        <v>56.4</v>
      </c>
      <c r="S28" s="5" t="s">
        <v>275</v>
      </c>
      <c r="T28" s="4">
        <v>0</v>
      </c>
      <c r="U28" s="4">
        <v>0</v>
      </c>
      <c r="V28" s="5">
        <v>0</v>
      </c>
      <c r="W28" s="4">
        <f t="shared" si="1"/>
        <v>0</v>
      </c>
      <c r="AB28" s="5" t="s">
        <v>275</v>
      </c>
      <c r="AC28" s="4">
        <v>0</v>
      </c>
      <c r="AD28" s="4">
        <v>0</v>
      </c>
      <c r="AE28" s="5">
        <v>0</v>
      </c>
      <c r="AF28" s="4">
        <f t="shared" si="2"/>
        <v>0</v>
      </c>
    </row>
    <row r="29" spans="1:34" ht="15.75" customHeight="1" x14ac:dyDescent="0.15">
      <c r="A29" s="5" t="s">
        <v>182</v>
      </c>
      <c r="B29" s="9">
        <v>0</v>
      </c>
      <c r="C29" s="4">
        <f>610.819/(117.6+238.298+56.4+1890.269+1523.4+88.93+59.42+610.819+25.8+11.4+4.8+9)*D$5</f>
        <v>694.7881212745848</v>
      </c>
      <c r="D29" s="5">
        <v>0</v>
      </c>
      <c r="E29" s="5">
        <v>0</v>
      </c>
      <c r="J29" s="5" t="s">
        <v>276</v>
      </c>
      <c r="K29" s="5">
        <v>25.8</v>
      </c>
      <c r="L29" s="4">
        <v>0</v>
      </c>
      <c r="M29" s="5">
        <v>0</v>
      </c>
      <c r="N29" s="5">
        <f t="shared" si="0"/>
        <v>25.8</v>
      </c>
      <c r="S29" s="5" t="s">
        <v>276</v>
      </c>
      <c r="T29" s="4">
        <v>0</v>
      </c>
      <c r="U29" s="4">
        <v>0</v>
      </c>
      <c r="V29" s="5">
        <v>0</v>
      </c>
      <c r="W29" s="4">
        <f t="shared" si="1"/>
        <v>0</v>
      </c>
      <c r="AB29" s="5" t="s">
        <v>276</v>
      </c>
      <c r="AC29" s="4">
        <v>0</v>
      </c>
      <c r="AD29" s="4">
        <v>0</v>
      </c>
      <c r="AE29" s="5">
        <v>0</v>
      </c>
      <c r="AF29" s="4">
        <f t="shared" si="2"/>
        <v>0</v>
      </c>
    </row>
    <row r="30" spans="1:34" ht="15.75" customHeight="1" x14ac:dyDescent="0.15">
      <c r="A30" s="5" t="s">
        <v>261</v>
      </c>
      <c r="B30" s="9">
        <v>0</v>
      </c>
      <c r="C30" s="4">
        <f>1523.4/(117.6+238.298+56.4+1890.269+1523.4+88.93+59.42+610.819+25.8+11.4+4.8+9)*D$5</f>
        <v>1732.8213823566434</v>
      </c>
      <c r="D30" s="5">
        <v>0</v>
      </c>
      <c r="E30" s="5">
        <v>0</v>
      </c>
      <c r="J30" s="5" t="s">
        <v>94</v>
      </c>
      <c r="K30" s="4">
        <f>5273.464351-SUM(K24:K29)</f>
        <v>2939.4453509999994</v>
      </c>
      <c r="L30" s="4">
        <v>0</v>
      </c>
      <c r="M30" s="5">
        <v>0</v>
      </c>
      <c r="N30" s="4">
        <f t="shared" si="0"/>
        <v>2939.4453509999994</v>
      </c>
      <c r="S30" s="5" t="s">
        <v>94</v>
      </c>
      <c r="T30" s="4">
        <f>5273.464351-SUM(T24:T29)</f>
        <v>1859.7953509999998</v>
      </c>
      <c r="U30" s="4">
        <v>0</v>
      </c>
      <c r="V30" s="5">
        <v>0</v>
      </c>
      <c r="W30" s="4">
        <f t="shared" si="1"/>
        <v>1859.7953509999998</v>
      </c>
      <c r="AB30" s="5" t="s">
        <v>94</v>
      </c>
      <c r="AC30" s="4">
        <f>5273.464351-SUM(AC24:AC29)</f>
        <v>1859.7953509999998</v>
      </c>
      <c r="AD30" s="4">
        <v>0</v>
      </c>
      <c r="AE30" s="5">
        <v>0</v>
      </c>
      <c r="AF30" s="4">
        <f t="shared" si="2"/>
        <v>1859.7953509999998</v>
      </c>
    </row>
    <row r="31" spans="1:34" ht="15.75" customHeight="1" x14ac:dyDescent="0.15">
      <c r="A31" s="5" t="s">
        <v>262</v>
      </c>
      <c r="B31" s="9">
        <v>0</v>
      </c>
      <c r="C31" s="4">
        <f>117.6/(117.6+238.298+56.4+1890.269+1523.4+88.93+59.42+610.819+25.8+11.4+4.8+9)*D$5</f>
        <v>133.76643991410086</v>
      </c>
      <c r="D31" s="5">
        <v>0</v>
      </c>
      <c r="E31" s="5">
        <v>0</v>
      </c>
    </row>
    <row r="32" spans="1:34" ht="15.75" customHeight="1" x14ac:dyDescent="0.15">
      <c r="A32" s="5" t="s">
        <v>277</v>
      </c>
      <c r="B32" s="4">
        <v>0</v>
      </c>
      <c r="C32" s="5">
        <f>238.298/(117.6+238.298+56.4+1890.269+1523.4+88.93+59.42+610.819+25.8+11.4+4.8+9)*D$5</f>
        <v>271.05676104294565</v>
      </c>
      <c r="D32" s="5">
        <v>0</v>
      </c>
      <c r="E32" s="5">
        <v>0</v>
      </c>
    </row>
    <row r="33" spans="1:14" ht="15.75" customHeight="1" x14ac:dyDescent="0.15">
      <c r="A33" s="5" t="s">
        <v>264</v>
      </c>
      <c r="B33" s="4">
        <v>0</v>
      </c>
      <c r="C33" s="5">
        <f>56.4/(117.6+238.298+56.4+1890.269+1523.4+88.93+59.42+610.819+25.8+11.4+4.8+9)*D$5</f>
        <v>64.1532926118647</v>
      </c>
      <c r="D33" s="5">
        <v>0</v>
      </c>
      <c r="E33" s="5">
        <v>0</v>
      </c>
    </row>
    <row r="34" spans="1:14" ht="15.75" customHeight="1" x14ac:dyDescent="0.15">
      <c r="A34" s="5" t="s">
        <v>129</v>
      </c>
      <c r="B34" s="4">
        <v>0</v>
      </c>
      <c r="C34" s="5">
        <f>88.93/(117.6+238.298+56.4+1890.269+1523.4+88.93+59.42+610.819+25.8+11.4+4.8+9)*D$5</f>
        <v>101.15518283640299</v>
      </c>
      <c r="D34" s="5">
        <v>0</v>
      </c>
      <c r="E34" s="5">
        <v>0</v>
      </c>
      <c r="L34" s="4"/>
      <c r="M34" s="4"/>
      <c r="N34" s="4"/>
    </row>
    <row r="35" spans="1:14" ht="15.75" customHeight="1" x14ac:dyDescent="0.15">
      <c r="A35" s="5" t="s">
        <v>183</v>
      </c>
      <c r="B35" s="9">
        <v>0</v>
      </c>
      <c r="C35" s="5">
        <f>59.42/(117.6+238.298+56.4+1890.269+1523.4+88.93+59.42+610.819+25.8+11.4+4.8+9)*D$5</f>
        <v>67.588451187890072</v>
      </c>
      <c r="D35" s="5">
        <v>0</v>
      </c>
      <c r="E35" s="5">
        <v>0</v>
      </c>
      <c r="L35" s="4"/>
      <c r="M35" s="4"/>
      <c r="N35" s="4"/>
    </row>
    <row r="36" spans="1:14" ht="15.75" customHeight="1" x14ac:dyDescent="0.15">
      <c r="A36" s="5" t="s">
        <v>265</v>
      </c>
      <c r="B36" s="9">
        <v>0</v>
      </c>
      <c r="C36" s="5">
        <f>25.8/(117.6+238.298+56.4+1890.269+1523.4+88.93+59.42+610.819+25.8+11.4+4.8+9)*D$5</f>
        <v>29.346718960746621</v>
      </c>
      <c r="D36" s="5">
        <v>0</v>
      </c>
      <c r="E36" s="5">
        <v>0</v>
      </c>
      <c r="L36" s="4"/>
      <c r="M36" s="4"/>
      <c r="N36" s="4"/>
    </row>
    <row r="37" spans="1:14" ht="15.75" customHeight="1" x14ac:dyDescent="0.15">
      <c r="A37" s="5" t="s">
        <v>127</v>
      </c>
      <c r="B37" s="9">
        <v>0</v>
      </c>
      <c r="C37" s="5">
        <f>11.4/(117.6+238.298+56.4+1890.269+1523.4+88.93+59.42+610.819+25.8+11.4+4.8+9)*D$5</f>
        <v>12.967154889632226</v>
      </c>
      <c r="D37" s="5">
        <v>0</v>
      </c>
      <c r="E37" s="5">
        <v>0</v>
      </c>
      <c r="L37" s="4"/>
      <c r="M37" s="4"/>
      <c r="N37" s="4"/>
    </row>
    <row r="38" spans="1:14" ht="15.75" customHeight="1" x14ac:dyDescent="0.15">
      <c r="A38" s="5" t="s">
        <v>145</v>
      </c>
      <c r="B38" s="9">
        <v>0</v>
      </c>
      <c r="C38" s="5">
        <f>4.8/(117.6+238.298+56.4+1890.269+1523.4+88.93+59.42+610.819+25.8+11.4+4.8+9)*D$5</f>
        <v>5.4598546903714631</v>
      </c>
      <c r="D38" s="5">
        <v>0</v>
      </c>
      <c r="E38" s="5">
        <v>0</v>
      </c>
      <c r="L38" s="4"/>
      <c r="M38" s="4"/>
      <c r="N38" s="4"/>
    </row>
    <row r="39" spans="1:14" ht="15.75" customHeight="1" x14ac:dyDescent="0.15">
      <c r="A39" s="5" t="s">
        <v>278</v>
      </c>
      <c r="B39" s="9">
        <v>0</v>
      </c>
      <c r="C39" s="5">
        <f>9/(117.6+238.298+56.4+1890.269+1523.4+88.93+59.42+610.819+25.8+11.4+4.8+9)*D$5</f>
        <v>10.237227544446494</v>
      </c>
      <c r="D39" s="5">
        <v>0</v>
      </c>
      <c r="E39" s="5">
        <v>0</v>
      </c>
      <c r="L39" s="4"/>
      <c r="M39" s="4"/>
      <c r="N39" s="4"/>
    </row>
    <row r="40" spans="1:14" ht="15.75" customHeight="1" x14ac:dyDescent="0.15">
      <c r="A40" s="5" t="s">
        <v>50</v>
      </c>
      <c r="B40" s="4">
        <f>2136.55/(2136.55+7939.35)*C6</f>
        <v>651.80349884601469</v>
      </c>
      <c r="C40" s="4">
        <v>0</v>
      </c>
      <c r="D40" s="5">
        <v>0</v>
      </c>
      <c r="E40" s="4">
        <f t="shared" ref="E40:E79" si="9">B40</f>
        <v>651.80349884601469</v>
      </c>
      <c r="L40" s="4"/>
      <c r="M40" s="4"/>
      <c r="N40" s="4"/>
    </row>
    <row r="41" spans="1:14" ht="15.75" customHeight="1" x14ac:dyDescent="0.15">
      <c r="A41" s="7" t="s">
        <v>279</v>
      </c>
      <c r="B41" s="4">
        <f>7939.35/(2136.55+7939.35)*C6</f>
        <v>2422.0805076235551</v>
      </c>
      <c r="C41" s="4">
        <v>0</v>
      </c>
      <c r="D41" s="5">
        <v>0</v>
      </c>
      <c r="E41" s="4">
        <f t="shared" si="9"/>
        <v>2422.0805076235551</v>
      </c>
      <c r="L41" s="4"/>
      <c r="M41" s="4"/>
      <c r="N41" s="4"/>
    </row>
    <row r="42" spans="1:14" ht="15.75" customHeight="1" x14ac:dyDescent="0.15">
      <c r="A42" s="5" t="s">
        <v>280</v>
      </c>
      <c r="B42" s="4">
        <f t="shared" ref="B42:B47" si="10">C7</f>
        <v>7788.6862080699411</v>
      </c>
      <c r="C42" s="4">
        <v>0</v>
      </c>
      <c r="D42" s="5">
        <v>0</v>
      </c>
      <c r="E42" s="4">
        <f t="shared" si="9"/>
        <v>7788.6862080699411</v>
      </c>
      <c r="L42" s="4"/>
      <c r="M42" s="4"/>
      <c r="N42" s="4"/>
    </row>
    <row r="43" spans="1:14" ht="15.75" customHeight="1" x14ac:dyDescent="0.15">
      <c r="A43" s="5" t="s">
        <v>281</v>
      </c>
      <c r="B43" s="4">
        <f t="shared" si="10"/>
        <v>48.756714622419821</v>
      </c>
      <c r="C43" s="4">
        <v>0</v>
      </c>
      <c r="D43" s="5">
        <v>0</v>
      </c>
      <c r="E43" s="4">
        <f t="shared" si="9"/>
        <v>48.756714622419821</v>
      </c>
      <c r="L43" s="4"/>
      <c r="M43" s="4"/>
      <c r="N43" s="4"/>
    </row>
    <row r="44" spans="1:14" ht="15.75" customHeight="1" x14ac:dyDescent="0.15">
      <c r="A44" s="5" t="s">
        <v>282</v>
      </c>
      <c r="B44" s="4">
        <f t="shared" si="10"/>
        <v>2.6167164595960646</v>
      </c>
      <c r="C44" s="4">
        <v>0</v>
      </c>
      <c r="D44" s="5">
        <v>0</v>
      </c>
      <c r="E44" s="4">
        <f t="shared" si="9"/>
        <v>2.6167164595960646</v>
      </c>
      <c r="L44" s="4"/>
      <c r="M44" s="4"/>
      <c r="N44" s="4"/>
    </row>
    <row r="45" spans="1:14" ht="13" x14ac:dyDescent="0.15">
      <c r="A45" s="5" t="s">
        <v>283</v>
      </c>
      <c r="B45" s="4">
        <f t="shared" si="10"/>
        <v>43.403556292276022</v>
      </c>
      <c r="C45" s="4">
        <v>0</v>
      </c>
      <c r="D45" s="5">
        <v>0</v>
      </c>
      <c r="E45" s="4">
        <f t="shared" si="9"/>
        <v>43.403556292276022</v>
      </c>
      <c r="L45" s="4"/>
      <c r="M45" s="4"/>
      <c r="N45" s="4"/>
    </row>
    <row r="46" spans="1:14" ht="13" x14ac:dyDescent="0.15">
      <c r="A46" s="5" t="s">
        <v>284</v>
      </c>
      <c r="B46" s="4">
        <f t="shared" si="10"/>
        <v>22.338869420810724</v>
      </c>
      <c r="C46" s="4">
        <v>0</v>
      </c>
      <c r="D46" s="5">
        <v>0</v>
      </c>
      <c r="E46" s="4">
        <f t="shared" si="9"/>
        <v>22.338869420810724</v>
      </c>
      <c r="L46" s="4"/>
      <c r="M46" s="4"/>
      <c r="N46" s="4"/>
    </row>
    <row r="47" spans="1:14" ht="13" x14ac:dyDescent="0.15">
      <c r="A47" s="5" t="s">
        <v>285</v>
      </c>
      <c r="B47" s="4">
        <f t="shared" si="10"/>
        <v>3.8994760878649153</v>
      </c>
      <c r="C47" s="4">
        <v>0</v>
      </c>
      <c r="D47" s="5">
        <v>0</v>
      </c>
      <c r="E47" s="4">
        <f t="shared" si="9"/>
        <v>3.8994760878649153</v>
      </c>
      <c r="L47" s="4"/>
      <c r="M47" s="4"/>
      <c r="N47" s="4"/>
    </row>
    <row r="48" spans="1:14" ht="13" x14ac:dyDescent="0.15">
      <c r="A48" s="5" t="s">
        <v>286</v>
      </c>
      <c r="B48" s="4">
        <f>1032.15/(1032.15+2299.85)*C13</f>
        <v>2.6130870095396275</v>
      </c>
      <c r="C48" s="4">
        <v>0</v>
      </c>
      <c r="D48" s="5">
        <v>0</v>
      </c>
      <c r="E48" s="4">
        <f t="shared" si="9"/>
        <v>2.6130870095396275</v>
      </c>
      <c r="L48" s="4"/>
      <c r="M48" s="4"/>
      <c r="N48" s="4"/>
    </row>
    <row r="49" spans="1:14" ht="13" x14ac:dyDescent="0.15">
      <c r="A49" s="5" t="s">
        <v>287</v>
      </c>
      <c r="B49" s="4">
        <f>2299.85/(1032.15+2299.85)*C13</f>
        <v>5.8225143233926389</v>
      </c>
      <c r="C49" s="4">
        <v>0</v>
      </c>
      <c r="D49" s="5">
        <v>0</v>
      </c>
      <c r="E49" s="4">
        <f t="shared" si="9"/>
        <v>5.8225143233926389</v>
      </c>
      <c r="L49" s="4"/>
      <c r="M49" s="4"/>
      <c r="N49" s="4"/>
    </row>
    <row r="50" spans="1:14" ht="13" x14ac:dyDescent="0.15">
      <c r="A50" s="5" t="s">
        <v>288</v>
      </c>
      <c r="B50" s="4">
        <f t="shared" ref="B50:B51" si="11">C14</f>
        <v>3.2451422318513021</v>
      </c>
      <c r="C50" s="4">
        <v>0</v>
      </c>
      <c r="D50" s="5">
        <v>0</v>
      </c>
      <c r="E50" s="4">
        <f t="shared" si="9"/>
        <v>3.2451422318513021</v>
      </c>
      <c r="L50" s="4"/>
      <c r="M50" s="4"/>
      <c r="N50" s="4"/>
    </row>
    <row r="51" spans="1:14" ht="13" x14ac:dyDescent="0.15">
      <c r="A51" s="5" t="s">
        <v>289</v>
      </c>
      <c r="B51" s="4">
        <f t="shared" si="11"/>
        <v>40.719019012739082</v>
      </c>
      <c r="C51" s="4">
        <v>0</v>
      </c>
      <c r="D51" s="5">
        <v>0</v>
      </c>
      <c r="E51" s="4">
        <f t="shared" si="9"/>
        <v>40.719019012739082</v>
      </c>
      <c r="L51" s="4"/>
      <c r="M51" s="4"/>
      <c r="N51" s="4"/>
    </row>
    <row r="52" spans="1:14" ht="13" x14ac:dyDescent="0.15">
      <c r="A52" s="5" t="s">
        <v>83</v>
      </c>
      <c r="B52" s="4">
        <f>2136.55/(2136.55+7939.35)*C16</f>
        <v>3.9146616397851299</v>
      </c>
      <c r="C52" s="4">
        <v>0</v>
      </c>
      <c r="D52" s="5">
        <v>0</v>
      </c>
      <c r="E52" s="4">
        <f t="shared" si="9"/>
        <v>3.9146616397851299</v>
      </c>
      <c r="L52" s="4"/>
      <c r="M52" s="4"/>
      <c r="N52" s="4"/>
    </row>
    <row r="53" spans="1:14" ht="13" x14ac:dyDescent="0.15">
      <c r="A53" s="5" t="s">
        <v>290</v>
      </c>
      <c r="B53" s="4">
        <f>7939.35/(2136.55+7939.35)*C16</f>
        <v>14.546754763440159</v>
      </c>
      <c r="C53" s="4">
        <v>0</v>
      </c>
      <c r="D53" s="5">
        <v>0</v>
      </c>
      <c r="E53" s="4">
        <f t="shared" si="9"/>
        <v>14.546754763440159</v>
      </c>
      <c r="L53" s="4"/>
      <c r="M53" s="4"/>
      <c r="N53" s="4"/>
    </row>
    <row r="54" spans="1:14" ht="13" x14ac:dyDescent="0.15">
      <c r="A54" s="5" t="s">
        <v>291</v>
      </c>
      <c r="B54" s="4">
        <f t="shared" ref="B54:B60" si="12">C17</f>
        <v>54.905953720379458</v>
      </c>
      <c r="C54" s="4">
        <v>0</v>
      </c>
      <c r="D54" s="5">
        <v>0</v>
      </c>
      <c r="E54" s="4">
        <f t="shared" si="9"/>
        <v>54.905953720379458</v>
      </c>
      <c r="L54" s="4"/>
      <c r="M54" s="4"/>
      <c r="N54" s="4"/>
    </row>
    <row r="55" spans="1:14" ht="13" x14ac:dyDescent="0.15">
      <c r="A55" s="5" t="s">
        <v>267</v>
      </c>
      <c r="B55" s="4">
        <f t="shared" si="12"/>
        <v>98.290709904916255</v>
      </c>
      <c r="C55" s="4">
        <v>0</v>
      </c>
      <c r="D55" s="5">
        <v>0</v>
      </c>
      <c r="E55" s="4">
        <f t="shared" si="9"/>
        <v>98.290709904916255</v>
      </c>
      <c r="L55" s="4"/>
      <c r="M55" s="4"/>
      <c r="N55" s="4"/>
    </row>
    <row r="56" spans="1:14" ht="13" x14ac:dyDescent="0.15">
      <c r="A56" s="5" t="s">
        <v>292</v>
      </c>
      <c r="B56" s="4">
        <f t="shared" si="12"/>
        <v>77.87663736382089</v>
      </c>
      <c r="C56" s="4">
        <v>0</v>
      </c>
      <c r="D56" s="5">
        <v>0</v>
      </c>
      <c r="E56" s="4">
        <f t="shared" si="9"/>
        <v>77.87663736382089</v>
      </c>
      <c r="L56" s="4"/>
      <c r="M56" s="4"/>
      <c r="N56" s="4"/>
    </row>
    <row r="57" spans="1:14" ht="13" x14ac:dyDescent="0.15">
      <c r="A57" s="5" t="s">
        <v>268</v>
      </c>
      <c r="B57" s="4">
        <f t="shared" si="12"/>
        <v>291.31945345312522</v>
      </c>
      <c r="C57" s="4">
        <v>0</v>
      </c>
      <c r="D57" s="5">
        <v>0</v>
      </c>
      <c r="E57" s="4">
        <f t="shared" si="9"/>
        <v>291.31945345312522</v>
      </c>
      <c r="L57" s="4"/>
      <c r="M57" s="4"/>
      <c r="N57" s="4"/>
    </row>
    <row r="58" spans="1:14" ht="13" x14ac:dyDescent="0.15">
      <c r="A58" s="5" t="s">
        <v>293</v>
      </c>
      <c r="B58" s="4">
        <f t="shared" si="12"/>
        <v>2040.9736960250154</v>
      </c>
      <c r="C58" s="4">
        <v>0</v>
      </c>
      <c r="D58" s="5">
        <v>0</v>
      </c>
      <c r="E58" s="4">
        <f t="shared" si="9"/>
        <v>2040.9736960250154</v>
      </c>
      <c r="L58" s="4"/>
      <c r="M58" s="4"/>
      <c r="N58" s="4"/>
    </row>
    <row r="59" spans="1:14" ht="13" x14ac:dyDescent="0.15">
      <c r="A59" s="5" t="s">
        <v>185</v>
      </c>
      <c r="B59" s="4">
        <f t="shared" si="12"/>
        <v>8.5527391483528198E-2</v>
      </c>
      <c r="C59" s="4">
        <v>0</v>
      </c>
      <c r="D59" s="5">
        <v>0</v>
      </c>
      <c r="E59" s="4">
        <f t="shared" si="9"/>
        <v>8.5527391483528198E-2</v>
      </c>
      <c r="L59" s="4"/>
      <c r="M59" s="4"/>
      <c r="N59" s="4"/>
    </row>
    <row r="60" spans="1:14" ht="13" x14ac:dyDescent="0.15">
      <c r="A60" s="5" t="s">
        <v>294</v>
      </c>
      <c r="B60" s="4">
        <f t="shared" si="12"/>
        <v>54.905953720379458</v>
      </c>
      <c r="C60" s="4">
        <v>0</v>
      </c>
      <c r="D60" s="5">
        <v>0</v>
      </c>
      <c r="E60" s="4">
        <f t="shared" si="9"/>
        <v>54.905953720379458</v>
      </c>
      <c r="L60" s="4"/>
      <c r="M60" s="4"/>
      <c r="N60" s="4"/>
    </row>
    <row r="61" spans="1:14" ht="13" x14ac:dyDescent="0.15">
      <c r="A61" s="5" t="s">
        <v>295</v>
      </c>
      <c r="B61" s="4">
        <f>1032.15/(1032.15+2299.85)*C24</f>
        <v>66.030518669291837</v>
      </c>
      <c r="C61" s="4">
        <v>0</v>
      </c>
      <c r="D61" s="5">
        <v>0</v>
      </c>
      <c r="E61" s="4">
        <f t="shared" si="9"/>
        <v>66.030518669291837</v>
      </c>
      <c r="L61" s="4"/>
      <c r="M61" s="4"/>
      <c r="N61" s="4"/>
    </row>
    <row r="62" spans="1:14" ht="13" x14ac:dyDescent="0.15">
      <c r="A62" s="5" t="s">
        <v>270</v>
      </c>
      <c r="B62" s="4">
        <f>2299.85/(1032.15+2299.85)*C24</f>
        <v>147.13005702811688</v>
      </c>
      <c r="C62" s="4">
        <v>0</v>
      </c>
      <c r="D62" s="5">
        <v>0</v>
      </c>
      <c r="E62" s="4">
        <f t="shared" si="9"/>
        <v>147.13005702811688</v>
      </c>
      <c r="L62" s="4"/>
      <c r="M62" s="4"/>
      <c r="N62" s="4"/>
    </row>
    <row r="63" spans="1:14" ht="13" x14ac:dyDescent="0.15">
      <c r="A63" s="5" t="s">
        <v>166</v>
      </c>
      <c r="B63" s="4">
        <f t="shared" ref="B63:B65" si="13">C25</f>
        <v>166.58104248945645</v>
      </c>
      <c r="C63" s="4">
        <v>0</v>
      </c>
      <c r="D63" s="5">
        <v>0</v>
      </c>
      <c r="E63" s="4">
        <f t="shared" si="9"/>
        <v>166.58104248945645</v>
      </c>
      <c r="L63" s="4"/>
      <c r="M63" s="4"/>
      <c r="N63" s="4"/>
    </row>
    <row r="64" spans="1:14" ht="13" x14ac:dyDescent="0.15">
      <c r="A64" s="5" t="s">
        <v>296</v>
      </c>
      <c r="B64" s="4">
        <f t="shared" si="13"/>
        <v>21.631851015218515</v>
      </c>
      <c r="C64" s="4">
        <v>0</v>
      </c>
      <c r="D64" s="5">
        <v>0</v>
      </c>
      <c r="E64" s="4">
        <f t="shared" si="9"/>
        <v>21.631851015218515</v>
      </c>
      <c r="L64" s="4"/>
      <c r="M64" s="4"/>
      <c r="N64" s="4"/>
    </row>
    <row r="65" spans="1:14" ht="13" x14ac:dyDescent="0.15">
      <c r="A65" s="5" t="s">
        <v>297</v>
      </c>
      <c r="B65" s="4">
        <f t="shared" si="13"/>
        <v>71.843008846163684</v>
      </c>
      <c r="C65" s="4">
        <v>0</v>
      </c>
      <c r="D65" s="5">
        <v>0</v>
      </c>
      <c r="E65" s="4">
        <f t="shared" si="9"/>
        <v>71.843008846163684</v>
      </c>
      <c r="L65" s="4"/>
      <c r="M65" s="4"/>
      <c r="N65" s="4"/>
    </row>
    <row r="66" spans="1:14" ht="13" x14ac:dyDescent="0.15">
      <c r="A66" s="5" t="s">
        <v>85</v>
      </c>
      <c r="B66" s="4">
        <f>2136.55/(2136.55+7939.35)*C28</f>
        <v>455.92422784194565</v>
      </c>
      <c r="C66" s="4">
        <v>0</v>
      </c>
      <c r="D66" s="5">
        <v>0</v>
      </c>
      <c r="E66" s="4">
        <f t="shared" si="9"/>
        <v>455.92422784194565</v>
      </c>
      <c r="L66" s="4"/>
      <c r="M66" s="4"/>
      <c r="N66" s="4"/>
    </row>
    <row r="67" spans="1:14" ht="13" x14ac:dyDescent="0.15">
      <c r="A67" s="5" t="s">
        <v>298</v>
      </c>
      <c r="B67" s="4">
        <f>7939.35/(2136.55+7939.35)*C28</f>
        <v>1694.1995358484244</v>
      </c>
      <c r="C67" s="4">
        <v>0</v>
      </c>
      <c r="D67" s="5">
        <v>0</v>
      </c>
      <c r="E67" s="4">
        <f t="shared" si="9"/>
        <v>1694.1995358484244</v>
      </c>
      <c r="L67" s="4"/>
      <c r="M67" s="4"/>
      <c r="N67" s="4"/>
    </row>
    <row r="68" spans="1:14" ht="13" x14ac:dyDescent="0.15">
      <c r="A68" s="5" t="s">
        <v>299</v>
      </c>
      <c r="B68" s="4">
        <f t="shared" ref="B68:B74" si="14">C29</f>
        <v>694.7881212745848</v>
      </c>
      <c r="C68" s="4">
        <v>0</v>
      </c>
      <c r="D68" s="5">
        <v>0</v>
      </c>
      <c r="E68" s="4">
        <f t="shared" si="9"/>
        <v>694.7881212745848</v>
      </c>
      <c r="L68" s="4"/>
      <c r="M68" s="4"/>
      <c r="N68" s="4"/>
    </row>
    <row r="69" spans="1:14" ht="13" x14ac:dyDescent="0.15">
      <c r="A69" s="5" t="s">
        <v>271</v>
      </c>
      <c r="B69" s="4">
        <f t="shared" si="14"/>
        <v>1732.8213823566434</v>
      </c>
      <c r="C69" s="4">
        <v>0</v>
      </c>
      <c r="D69" s="5">
        <v>0</v>
      </c>
      <c r="E69" s="4">
        <f t="shared" si="9"/>
        <v>1732.8213823566434</v>
      </c>
      <c r="L69" s="4"/>
      <c r="M69" s="4"/>
      <c r="N69" s="4"/>
    </row>
    <row r="70" spans="1:14" ht="13" x14ac:dyDescent="0.15">
      <c r="A70" s="5" t="s">
        <v>274</v>
      </c>
      <c r="B70" s="4">
        <f t="shared" si="14"/>
        <v>133.76643991410086</v>
      </c>
      <c r="C70" s="4">
        <v>0</v>
      </c>
      <c r="D70" s="5">
        <v>0</v>
      </c>
      <c r="E70" s="4">
        <f t="shared" si="9"/>
        <v>133.76643991410086</v>
      </c>
      <c r="L70" s="4"/>
      <c r="M70" s="4"/>
      <c r="N70" s="4"/>
    </row>
    <row r="71" spans="1:14" ht="13" x14ac:dyDescent="0.15">
      <c r="A71" s="5" t="s">
        <v>300</v>
      </c>
      <c r="B71" s="5">
        <f t="shared" si="14"/>
        <v>271.05676104294565</v>
      </c>
      <c r="C71" s="4">
        <v>0</v>
      </c>
      <c r="D71" s="5">
        <v>0</v>
      </c>
      <c r="E71" s="5">
        <f t="shared" si="9"/>
        <v>271.05676104294565</v>
      </c>
      <c r="L71" s="4"/>
      <c r="M71" s="4"/>
      <c r="N71" s="4"/>
    </row>
    <row r="72" spans="1:14" ht="13" x14ac:dyDescent="0.15">
      <c r="A72" s="5" t="s">
        <v>275</v>
      </c>
      <c r="B72" s="5">
        <f t="shared" si="14"/>
        <v>64.1532926118647</v>
      </c>
      <c r="C72" s="4">
        <v>0</v>
      </c>
      <c r="D72" s="5">
        <v>0</v>
      </c>
      <c r="E72" s="5">
        <f t="shared" si="9"/>
        <v>64.1532926118647</v>
      </c>
      <c r="L72" s="4"/>
      <c r="M72" s="4"/>
      <c r="N72" s="4"/>
    </row>
    <row r="73" spans="1:14" ht="13" x14ac:dyDescent="0.15">
      <c r="A73" s="5" t="s">
        <v>301</v>
      </c>
      <c r="B73" s="5">
        <f t="shared" si="14"/>
        <v>101.15518283640299</v>
      </c>
      <c r="C73" s="4">
        <v>0</v>
      </c>
      <c r="D73" s="5">
        <v>0</v>
      </c>
      <c r="E73" s="5">
        <f t="shared" si="9"/>
        <v>101.15518283640299</v>
      </c>
      <c r="L73" s="4"/>
      <c r="M73" s="4"/>
      <c r="N73" s="4"/>
    </row>
    <row r="74" spans="1:14" ht="13" x14ac:dyDescent="0.15">
      <c r="A74" s="5" t="s">
        <v>194</v>
      </c>
      <c r="B74" s="5">
        <f t="shared" si="14"/>
        <v>67.588451187890072</v>
      </c>
      <c r="C74" s="4">
        <v>0</v>
      </c>
      <c r="D74" s="5">
        <v>0</v>
      </c>
      <c r="E74" s="5">
        <f t="shared" si="9"/>
        <v>67.588451187890072</v>
      </c>
      <c r="L74" s="4"/>
      <c r="M74" s="4"/>
      <c r="N74" s="4"/>
    </row>
    <row r="75" spans="1:14" ht="13" x14ac:dyDescent="0.15">
      <c r="A75" s="5" t="s">
        <v>302</v>
      </c>
      <c r="B75" s="4">
        <f>1032.15/(1032.15+2299.85)*C36</f>
        <v>9.0907010730295994</v>
      </c>
      <c r="C75" s="4">
        <v>0</v>
      </c>
      <c r="D75" s="5">
        <v>0</v>
      </c>
      <c r="E75" s="4">
        <f t="shared" si="9"/>
        <v>9.0907010730295994</v>
      </c>
      <c r="L75" s="4"/>
      <c r="M75" s="4"/>
      <c r="N75" s="4"/>
    </row>
    <row r="76" spans="1:14" ht="13" x14ac:dyDescent="0.15">
      <c r="A76" s="5" t="s">
        <v>276</v>
      </c>
      <c r="B76" s="4">
        <f>2299.85/(1032.15+2299.85)*C36</f>
        <v>20.256017887717022</v>
      </c>
      <c r="C76" s="4">
        <v>0</v>
      </c>
      <c r="D76" s="5">
        <v>0</v>
      </c>
      <c r="E76" s="4">
        <f t="shared" si="9"/>
        <v>20.256017887717022</v>
      </c>
      <c r="L76" s="4"/>
      <c r="M76" s="4"/>
      <c r="N76" s="4"/>
    </row>
    <row r="77" spans="1:14" ht="13" x14ac:dyDescent="0.15">
      <c r="A77" s="5" t="s">
        <v>174</v>
      </c>
      <c r="B77" s="5">
        <f t="shared" ref="B77:B79" si="15">C37</f>
        <v>12.967154889632226</v>
      </c>
      <c r="C77" s="4">
        <v>0</v>
      </c>
      <c r="D77" s="5">
        <v>0</v>
      </c>
      <c r="E77" s="5">
        <f t="shared" si="9"/>
        <v>12.967154889632226</v>
      </c>
      <c r="L77" s="4"/>
      <c r="M77" s="4"/>
      <c r="N77" s="4"/>
    </row>
    <row r="78" spans="1:14" ht="13" x14ac:dyDescent="0.15">
      <c r="A78" s="5" t="s">
        <v>303</v>
      </c>
      <c r="B78" s="5">
        <f t="shared" si="15"/>
        <v>5.4598546903714631</v>
      </c>
      <c r="C78" s="4">
        <v>0</v>
      </c>
      <c r="D78" s="5">
        <v>0</v>
      </c>
      <c r="E78" s="5">
        <f t="shared" si="9"/>
        <v>5.4598546903714631</v>
      </c>
      <c r="L78" s="4"/>
      <c r="M78" s="4"/>
      <c r="N78" s="4"/>
    </row>
    <row r="79" spans="1:14" ht="13" x14ac:dyDescent="0.15">
      <c r="A79" s="5" t="s">
        <v>304</v>
      </c>
      <c r="B79" s="5">
        <f t="shared" si="15"/>
        <v>10.237227544446494</v>
      </c>
      <c r="C79" s="4">
        <v>0</v>
      </c>
      <c r="D79" s="5">
        <v>0</v>
      </c>
      <c r="E79" s="5">
        <f t="shared" si="9"/>
        <v>10.237227544446494</v>
      </c>
      <c r="L79" s="4"/>
      <c r="M79" s="4"/>
      <c r="N79" s="4"/>
    </row>
    <row r="80" spans="1:14" ht="13" x14ac:dyDescent="0.15">
      <c r="L80" s="4"/>
      <c r="M80" s="4"/>
      <c r="N80" s="4"/>
    </row>
    <row r="81" spans="1:14" ht="13" x14ac:dyDescent="0.15">
      <c r="L81" s="4"/>
      <c r="M81" s="4"/>
      <c r="N81" s="4"/>
    </row>
    <row r="82" spans="1:14" ht="13" x14ac:dyDescent="0.15">
      <c r="L82" s="4"/>
      <c r="M82" s="4"/>
      <c r="N82" s="4"/>
    </row>
    <row r="83" spans="1:14" ht="13" x14ac:dyDescent="0.15">
      <c r="B83" s="5" t="s">
        <v>33</v>
      </c>
      <c r="C83" s="5" t="s">
        <v>34</v>
      </c>
      <c r="D83" s="5" t="s">
        <v>35</v>
      </c>
      <c r="L83" s="4"/>
      <c r="M83" s="4"/>
      <c r="N83" s="4"/>
    </row>
    <row r="84" spans="1:14" ht="13" x14ac:dyDescent="0.15">
      <c r="A84" s="5" t="s">
        <v>10</v>
      </c>
      <c r="B84" s="4">
        <v>0</v>
      </c>
      <c r="C84" s="4">
        <v>0</v>
      </c>
      <c r="D84" s="5">
        <v>11035.98531</v>
      </c>
      <c r="F84" s="5" t="s">
        <v>10</v>
      </c>
      <c r="G84">
        <f>B152/$B$194*100</f>
        <v>3.356440618786348</v>
      </c>
      <c r="H84" s="7" t="s">
        <v>10</v>
      </c>
      <c r="I84">
        <v>0</v>
      </c>
      <c r="J84">
        <v>1</v>
      </c>
      <c r="L84" s="4"/>
      <c r="M84" s="4"/>
      <c r="N84" s="4"/>
    </row>
    <row r="85" spans="1:14" ht="13" x14ac:dyDescent="0.15">
      <c r="A85" s="5" t="s">
        <v>14</v>
      </c>
      <c r="B85" s="4">
        <v>0</v>
      </c>
      <c r="C85" s="4">
        <v>0</v>
      </c>
      <c r="D85" s="5">
        <v>3164.0786109999999</v>
      </c>
      <c r="F85" s="7" t="s">
        <v>7</v>
      </c>
      <c r="G85">
        <f>B154/$B$194*100</f>
        <v>12.472423686205046</v>
      </c>
      <c r="H85" s="7" t="s">
        <v>10</v>
      </c>
      <c r="I85">
        <v>0</v>
      </c>
      <c r="J85">
        <v>1</v>
      </c>
      <c r="L85" s="4"/>
      <c r="M85" s="4"/>
      <c r="N85" s="4"/>
    </row>
    <row r="86" spans="1:14" ht="13" x14ac:dyDescent="0.15">
      <c r="A86" s="5"/>
      <c r="B86" s="4"/>
      <c r="C86" s="4"/>
      <c r="D86" s="5"/>
      <c r="F86" s="7" t="s">
        <v>10</v>
      </c>
      <c r="G86">
        <f>C89/C194*100</f>
        <v>15.828864304991397</v>
      </c>
      <c r="H86" s="7" t="s">
        <v>10</v>
      </c>
      <c r="I86">
        <v>1</v>
      </c>
      <c r="J86">
        <v>2</v>
      </c>
      <c r="L86" s="4"/>
      <c r="M86" s="4"/>
      <c r="N86" s="4"/>
    </row>
    <row r="87" spans="1:14" ht="13" x14ac:dyDescent="0.15">
      <c r="A87" s="5" t="s">
        <v>15</v>
      </c>
      <c r="B87" s="4">
        <v>0</v>
      </c>
      <c r="C87" s="4">
        <v>0</v>
      </c>
      <c r="D87" s="5">
        <v>5273.4643509999996</v>
      </c>
      <c r="F87" s="5" t="s">
        <v>359</v>
      </c>
      <c r="G87">
        <f>B156/$B$194*100</f>
        <v>40.107582733186504</v>
      </c>
      <c r="H87" s="5" t="s">
        <v>359</v>
      </c>
      <c r="I87">
        <v>0</v>
      </c>
      <c r="J87">
        <v>1</v>
      </c>
      <c r="L87" s="4"/>
      <c r="M87" s="4"/>
      <c r="N87" s="4"/>
    </row>
    <row r="88" spans="1:14" ht="13" x14ac:dyDescent="0.15">
      <c r="A88" s="5"/>
      <c r="B88" s="4"/>
      <c r="C88" s="4"/>
      <c r="D88" s="5"/>
      <c r="F88" s="5" t="s">
        <v>359</v>
      </c>
      <c r="G88">
        <f>C91/C194*100</f>
        <v>40.107582733186504</v>
      </c>
      <c r="H88" s="7" t="s">
        <v>10</v>
      </c>
      <c r="I88">
        <v>1</v>
      </c>
      <c r="J88">
        <v>2</v>
      </c>
      <c r="L88" s="4"/>
      <c r="M88" s="4"/>
      <c r="N88" s="4"/>
    </row>
    <row r="89" spans="1:14" ht="13" x14ac:dyDescent="0.15">
      <c r="A89" s="5" t="s">
        <v>38</v>
      </c>
      <c r="B89" s="4">
        <v>0</v>
      </c>
      <c r="C89" s="4">
        <f>69526.409/(1102.8+59.186+981.72+69526.409+176167.8+505.27+88.2+190.8+73.4+921)*D$3</f>
        <v>3073.8840064695701</v>
      </c>
      <c r="D89" s="5">
        <v>0</v>
      </c>
      <c r="F89" s="5" t="s">
        <v>9</v>
      </c>
      <c r="G89">
        <f>B157/$B$194*100</f>
        <v>0.25107109379896936</v>
      </c>
      <c r="H89" s="5" t="s">
        <v>9</v>
      </c>
      <c r="I89">
        <v>0</v>
      </c>
      <c r="J89">
        <v>1</v>
      </c>
      <c r="L89" s="4"/>
      <c r="M89" s="4"/>
      <c r="N89" s="4"/>
    </row>
    <row r="90" spans="1:14" ht="13" x14ac:dyDescent="0.15">
      <c r="A90" s="5"/>
      <c r="B90" s="4"/>
      <c r="C90" s="4"/>
      <c r="D90" s="5"/>
      <c r="F90" s="5" t="s">
        <v>9</v>
      </c>
      <c r="G90">
        <f>C93/C194*100</f>
        <v>0.25107109379896936</v>
      </c>
      <c r="H90" s="7" t="s">
        <v>10</v>
      </c>
      <c r="I90">
        <v>1</v>
      </c>
      <c r="J90">
        <v>2</v>
      </c>
      <c r="L90" s="4"/>
      <c r="M90" s="4"/>
      <c r="N90" s="4"/>
    </row>
    <row r="91" spans="1:14" ht="13" x14ac:dyDescent="0.15">
      <c r="A91" s="5" t="s">
        <v>251</v>
      </c>
      <c r="B91" s="4">
        <v>0</v>
      </c>
      <c r="C91" s="4">
        <f>176167.8/(1102.8+59.186+981.72+69526.409+176167.8+505.27+88.2+190.8+73.4+921)*D$3</f>
        <v>7788.6862080699411</v>
      </c>
      <c r="D91" s="5">
        <v>0</v>
      </c>
      <c r="F91" s="5" t="s">
        <v>360</v>
      </c>
      <c r="G91">
        <f>B158/$B$194*100</f>
        <v>1.347469510118408E-2</v>
      </c>
      <c r="H91" s="5" t="s">
        <v>360</v>
      </c>
      <c r="I91">
        <v>0</v>
      </c>
      <c r="J91">
        <v>1</v>
      </c>
      <c r="L91" s="4"/>
      <c r="M91" s="4"/>
      <c r="N91" s="4"/>
    </row>
    <row r="92" spans="1:14" ht="13" x14ac:dyDescent="0.15">
      <c r="A92" s="5"/>
      <c r="B92" s="4"/>
      <c r="C92" s="4"/>
      <c r="D92" s="5"/>
      <c r="F92" s="5" t="s">
        <v>360</v>
      </c>
      <c r="G92">
        <f>C95/C194*100</f>
        <v>1.347469510118408E-2</v>
      </c>
      <c r="H92" s="7" t="s">
        <v>10</v>
      </c>
      <c r="I92">
        <v>1</v>
      </c>
      <c r="J92">
        <v>2</v>
      </c>
      <c r="L92" s="4"/>
      <c r="M92" s="4"/>
      <c r="N92" s="4"/>
    </row>
    <row r="93" spans="1:14" ht="13" x14ac:dyDescent="0.15">
      <c r="A93" s="5" t="s">
        <v>253</v>
      </c>
      <c r="B93" s="4">
        <v>0</v>
      </c>
      <c r="C93" s="4">
        <f>1102.8/(1102.8+59.186+981.72+69526.409+176167.8+505.27+88.2+190.8+73.4+921)*D$3</f>
        <v>48.756714622419821</v>
      </c>
      <c r="D93" s="5">
        <v>0</v>
      </c>
      <c r="F93" s="5" t="s">
        <v>37</v>
      </c>
      <c r="G93">
        <f>B159/$B$194*100</f>
        <v>0.22350518154182469</v>
      </c>
      <c r="H93" s="5" t="s">
        <v>37</v>
      </c>
      <c r="I93">
        <v>0</v>
      </c>
      <c r="J93">
        <v>1</v>
      </c>
      <c r="L93" s="4"/>
      <c r="M93" s="4"/>
      <c r="N93" s="4"/>
    </row>
    <row r="94" spans="1:14" ht="13" x14ac:dyDescent="0.15">
      <c r="A94" s="5"/>
      <c r="B94" s="4"/>
      <c r="C94" s="4"/>
      <c r="D94" s="5"/>
      <c r="F94" s="5" t="s">
        <v>37</v>
      </c>
      <c r="G94">
        <f>C97/C194*100</f>
        <v>0.22350518154182469</v>
      </c>
      <c r="H94" s="7" t="s">
        <v>10</v>
      </c>
      <c r="I94">
        <v>1</v>
      </c>
      <c r="J94">
        <v>2</v>
      </c>
      <c r="L94" s="4"/>
      <c r="M94" s="4"/>
      <c r="N94" s="4"/>
    </row>
    <row r="95" spans="1:14" ht="13" x14ac:dyDescent="0.15">
      <c r="A95" s="5" t="s">
        <v>255</v>
      </c>
      <c r="B95" s="4">
        <v>0</v>
      </c>
      <c r="C95" s="4">
        <f>59.186/(1102.8+59.186+981.72+69526.409+176167.8+505.27+88.2+190.8+73.4+921)*D$3</f>
        <v>2.6167164595960646</v>
      </c>
      <c r="D95" s="5">
        <v>0</v>
      </c>
      <c r="F95" s="5" t="s">
        <v>347</v>
      </c>
      <c r="G95">
        <f>B160/$B$194*100</f>
        <v>0.11503327127657351</v>
      </c>
      <c r="H95" s="5" t="s">
        <v>347</v>
      </c>
      <c r="I95">
        <v>0</v>
      </c>
      <c r="J95">
        <v>1</v>
      </c>
      <c r="L95" s="4"/>
      <c r="M95" s="4"/>
      <c r="N95" s="4"/>
    </row>
    <row r="96" spans="1:14" ht="13" x14ac:dyDescent="0.15">
      <c r="A96" s="5"/>
      <c r="B96" s="4"/>
      <c r="C96" s="4"/>
      <c r="D96" s="5"/>
      <c r="F96" s="5" t="s">
        <v>347</v>
      </c>
      <c r="G96">
        <f>C99/C194*100</f>
        <v>0.11503327127657351</v>
      </c>
      <c r="H96" s="7" t="s">
        <v>10</v>
      </c>
      <c r="I96">
        <v>1</v>
      </c>
      <c r="J96">
        <v>2</v>
      </c>
      <c r="L96" s="4"/>
      <c r="M96" s="4"/>
      <c r="N96" s="4"/>
    </row>
    <row r="97" spans="1:14" ht="13" x14ac:dyDescent="0.15">
      <c r="A97" s="5" t="s">
        <v>256</v>
      </c>
      <c r="B97" s="4">
        <v>0</v>
      </c>
      <c r="C97" s="4">
        <f>981.72/(1102.8+59.186+981.72+69526.409+176167.8+505.27+88.2+190.8+73.4+921)*D$3</f>
        <v>43.403556292276022</v>
      </c>
      <c r="D97" s="5">
        <v>0</v>
      </c>
      <c r="F97" s="5" t="s">
        <v>361</v>
      </c>
      <c r="G97">
        <f>B161/$B$194*100</f>
        <v>2.0080223497523666E-2</v>
      </c>
      <c r="H97" s="5" t="s">
        <v>361</v>
      </c>
      <c r="I97">
        <v>0</v>
      </c>
      <c r="J97">
        <v>1</v>
      </c>
      <c r="L97" s="4"/>
      <c r="M97" s="4"/>
      <c r="N97" s="4"/>
    </row>
    <row r="98" spans="1:14" ht="13" x14ac:dyDescent="0.15">
      <c r="A98" s="5"/>
      <c r="B98" s="4"/>
      <c r="C98" s="4"/>
      <c r="D98" s="5"/>
      <c r="F98" s="5" t="s">
        <v>361</v>
      </c>
      <c r="G98">
        <f>C100/C194*100</f>
        <v>2.0080223497523666E-2</v>
      </c>
      <c r="H98" s="7" t="s">
        <v>10</v>
      </c>
      <c r="I98">
        <v>1</v>
      </c>
      <c r="J98">
        <v>2</v>
      </c>
      <c r="L98" s="4"/>
      <c r="M98" s="4"/>
      <c r="N98" s="4"/>
    </row>
    <row r="99" spans="1:14" ht="13" x14ac:dyDescent="0.15">
      <c r="A99" s="5" t="s">
        <v>128</v>
      </c>
      <c r="B99" s="4">
        <v>0</v>
      </c>
      <c r="C99" s="4">
        <f>505.27/(1102.8+59.186+981.72+69526.409+176167.8+505.27+88.2+190.8+73.4+921)*D$3</f>
        <v>22.338869420810724</v>
      </c>
      <c r="D99" s="5">
        <v>0</v>
      </c>
      <c r="F99" s="5" t="s">
        <v>359</v>
      </c>
      <c r="G99">
        <f>B162/$B$194*100</f>
        <v>1.3456005367829088E-2</v>
      </c>
      <c r="H99" s="5" t="s">
        <v>362</v>
      </c>
      <c r="I99">
        <v>0</v>
      </c>
      <c r="J99">
        <v>1</v>
      </c>
      <c r="L99" s="4"/>
      <c r="M99" s="4"/>
      <c r="N99" s="4"/>
    </row>
    <row r="100" spans="1:14" ht="13" x14ac:dyDescent="0.15">
      <c r="A100" s="5" t="s">
        <v>259</v>
      </c>
      <c r="B100" s="4">
        <v>0</v>
      </c>
      <c r="C100" s="4">
        <f>88.2/(1102.8+59.186+981.72+69526.409+176167.8+505.27+88.2+190.8+73.4+921)*D$3</f>
        <v>3.8994760878649153</v>
      </c>
      <c r="D100" s="5">
        <v>0</v>
      </c>
      <c r="F100" s="5" t="s">
        <v>362</v>
      </c>
      <c r="G100">
        <f>B163/$B$194*100</f>
        <v>2.9982845463548641E-2</v>
      </c>
      <c r="H100" s="5" t="s">
        <v>362</v>
      </c>
      <c r="I100">
        <v>0</v>
      </c>
      <c r="J100">
        <v>1</v>
      </c>
      <c r="L100" s="4"/>
      <c r="M100" s="4"/>
      <c r="N100" s="4"/>
    </row>
    <row r="101" spans="1:14" ht="13" x14ac:dyDescent="0.15">
      <c r="A101" s="5"/>
      <c r="B101" s="4"/>
      <c r="C101" s="4"/>
      <c r="D101" s="5"/>
      <c r="F101" s="5" t="s">
        <v>362</v>
      </c>
      <c r="G101">
        <f>C102/C194*100</f>
        <v>4.3438850831377732E-2</v>
      </c>
      <c r="H101" s="7" t="s">
        <v>10</v>
      </c>
      <c r="I101">
        <v>1</v>
      </c>
      <c r="J101">
        <v>2</v>
      </c>
      <c r="L101" s="4"/>
      <c r="M101" s="4"/>
      <c r="N101" s="4"/>
    </row>
    <row r="102" spans="1:14" ht="13" x14ac:dyDescent="0.15">
      <c r="A102" s="5" t="s">
        <v>260</v>
      </c>
      <c r="B102" s="4">
        <v>0</v>
      </c>
      <c r="C102" s="4">
        <f>190.8/(1102.8+59.186+981.72+69526.409+176167.8+505.27+88.2+190.8+73.4+921)*D$3</f>
        <v>8.4356013329322668</v>
      </c>
      <c r="D102" s="5">
        <v>0</v>
      </c>
      <c r="F102" s="5" t="s">
        <v>6</v>
      </c>
      <c r="G102">
        <f>B164/$B$194*100</f>
        <v>1.6710752887961876E-2</v>
      </c>
      <c r="H102" s="5" t="s">
        <v>6</v>
      </c>
      <c r="I102">
        <v>0</v>
      </c>
      <c r="J102">
        <v>1</v>
      </c>
      <c r="L102" s="4"/>
      <c r="M102" s="4"/>
      <c r="N102" s="4"/>
    </row>
    <row r="103" spans="1:14" ht="13" x14ac:dyDescent="0.15">
      <c r="A103" s="5"/>
      <c r="B103" s="4"/>
      <c r="C103" s="4"/>
      <c r="D103" s="5"/>
      <c r="F103" s="5" t="s">
        <v>6</v>
      </c>
      <c r="G103">
        <f>C104/C194*100</f>
        <v>1.6710752887961876E-2</v>
      </c>
      <c r="H103" s="7" t="s">
        <v>10</v>
      </c>
      <c r="I103">
        <v>1</v>
      </c>
      <c r="J103">
        <v>2</v>
      </c>
      <c r="L103" s="4"/>
      <c r="M103" s="4"/>
      <c r="N103" s="4"/>
    </row>
    <row r="104" spans="1:14" ht="13" x14ac:dyDescent="0.15">
      <c r="A104" s="5" t="s">
        <v>132</v>
      </c>
      <c r="B104" s="4">
        <v>0</v>
      </c>
      <c r="C104" s="4">
        <f>73.4/(1102.8+59.186+981.72+69526.409+176167.8+505.27+88.2+190.8+73.4+921)*D$3</f>
        <v>3.2451422318513021</v>
      </c>
      <c r="D104" s="5">
        <v>0</v>
      </c>
      <c r="F104" s="5" t="s">
        <v>363</v>
      </c>
      <c r="G104">
        <f>B165/$B$194*100</f>
        <v>0.20968124536529814</v>
      </c>
      <c r="H104" s="5" t="s">
        <v>363</v>
      </c>
      <c r="I104">
        <v>0</v>
      </c>
      <c r="J104">
        <v>1</v>
      </c>
      <c r="L104" s="4"/>
      <c r="M104" s="4"/>
      <c r="N104" s="4"/>
    </row>
    <row r="105" spans="1:14" ht="13" x14ac:dyDescent="0.15">
      <c r="A105" s="5"/>
      <c r="B105" s="4"/>
      <c r="C105" s="4"/>
      <c r="D105" s="5"/>
      <c r="F105" s="5" t="s">
        <v>363</v>
      </c>
      <c r="G105">
        <f>C106/C194*100</f>
        <v>0.20968124536529814</v>
      </c>
      <c r="H105" s="7" t="s">
        <v>10</v>
      </c>
      <c r="I105">
        <v>1</v>
      </c>
      <c r="J105">
        <v>2</v>
      </c>
      <c r="L105" s="4"/>
      <c r="M105" s="4"/>
      <c r="N105" s="4"/>
    </row>
    <row r="106" spans="1:14" ht="13" x14ac:dyDescent="0.15">
      <c r="A106" s="5" t="s">
        <v>263</v>
      </c>
      <c r="B106" s="4">
        <v>0</v>
      </c>
      <c r="C106" s="4">
        <f>921/(1102.8+59.186+981.72+69526.409+176167.8+505.27+88.2+190.8+73.4+921)*D$3</f>
        <v>40.719019012739082</v>
      </c>
      <c r="D106" s="5">
        <v>0</v>
      </c>
      <c r="F106" s="7" t="s">
        <v>10</v>
      </c>
      <c r="G106">
        <f>B166/$B$194*100</f>
        <v>2.015842099626974E-2</v>
      </c>
      <c r="H106" s="7" t="s">
        <v>10</v>
      </c>
      <c r="I106">
        <v>0</v>
      </c>
      <c r="J106">
        <v>1</v>
      </c>
      <c r="L106" s="4"/>
      <c r="M106" s="4"/>
      <c r="N106" s="4"/>
    </row>
    <row r="107" spans="1:14" ht="13" x14ac:dyDescent="0.15">
      <c r="A107" s="5" t="s">
        <v>78</v>
      </c>
      <c r="B107" s="4">
        <v>0</v>
      </c>
      <c r="C107" s="4">
        <f>(642.948-614.887)/(149.4+118.371+442.8+642.948-614.887+3102.241+0.13+83.456+165.6+324+253.2+32.88+109.2)*D$4</f>
        <v>18.461416403225289</v>
      </c>
      <c r="F107" s="5" t="s">
        <v>359</v>
      </c>
      <c r="G107">
        <f>B167/$B$194*100</f>
        <v>7.490803385679444E-2</v>
      </c>
      <c r="H107" s="7" t="s">
        <v>10</v>
      </c>
      <c r="I107">
        <v>0</v>
      </c>
      <c r="J107">
        <v>1</v>
      </c>
      <c r="L107" s="4"/>
      <c r="M107" s="4"/>
      <c r="N107" s="4"/>
    </row>
    <row r="108" spans="1:14" ht="13" x14ac:dyDescent="0.15">
      <c r="A108" s="5"/>
      <c r="B108" s="4"/>
      <c r="C108" s="4"/>
      <c r="F108" s="7" t="s">
        <v>10</v>
      </c>
      <c r="G108">
        <f>C107/C194*100</f>
        <v>9.506645485306417E-2</v>
      </c>
      <c r="H108" s="5" t="s">
        <v>14</v>
      </c>
      <c r="I108">
        <v>1</v>
      </c>
      <c r="J108">
        <v>2</v>
      </c>
      <c r="L108" s="4"/>
      <c r="M108" s="4"/>
      <c r="N108" s="4"/>
    </row>
    <row r="109" spans="1:14" ht="13" x14ac:dyDescent="0.15">
      <c r="A109" s="5" t="s">
        <v>179</v>
      </c>
      <c r="B109" s="4">
        <v>0</v>
      </c>
      <c r="C109" s="4">
        <f>83.456/(149.4+118.371+442.8+642.948-614.887+3102.241+0.13+83.456+165.6+324+253.2+32.88+109.2)*D$4</f>
        <v>54.905953720379458</v>
      </c>
      <c r="F109" s="5" t="s">
        <v>14</v>
      </c>
      <c r="G109">
        <f>B168/$B$194*100</f>
        <v>0.28273639771274417</v>
      </c>
      <c r="H109" s="5" t="s">
        <v>14</v>
      </c>
      <c r="I109">
        <v>0</v>
      </c>
      <c r="J109">
        <v>1</v>
      </c>
      <c r="L109" s="4"/>
      <c r="M109" s="4"/>
      <c r="N109" s="4"/>
    </row>
    <row r="110" spans="1:14" ht="13" x14ac:dyDescent="0.15">
      <c r="A110" s="5"/>
      <c r="B110" s="4"/>
      <c r="C110" s="4"/>
      <c r="F110" s="5" t="s">
        <v>14</v>
      </c>
      <c r="G110">
        <f>C109/C194*100</f>
        <v>0.28273639771274417</v>
      </c>
      <c r="H110" s="5" t="s">
        <v>14</v>
      </c>
      <c r="I110">
        <v>1</v>
      </c>
      <c r="J110">
        <v>2</v>
      </c>
      <c r="L110" s="4"/>
      <c r="M110" s="4"/>
      <c r="N110" s="4"/>
    </row>
    <row r="111" spans="1:14" ht="13" x14ac:dyDescent="0.15">
      <c r="A111" s="5" t="s">
        <v>252</v>
      </c>
      <c r="B111" s="4">
        <v>0</v>
      </c>
      <c r="C111" s="4">
        <f>149.4/(149.4+118.371+442.8+642.948-614.887+3102.241+0.13+83.456+165.6+324+253.2+32.88+109.2)*D$4</f>
        <v>98.290709904916255</v>
      </c>
      <c r="F111" s="5" t="s">
        <v>9</v>
      </c>
      <c r="G111">
        <f>B169/$B$194*100</f>
        <v>0.50614476871985215</v>
      </c>
      <c r="H111" s="5" t="s">
        <v>9</v>
      </c>
      <c r="I111">
        <v>0</v>
      </c>
      <c r="J111">
        <v>1</v>
      </c>
      <c r="L111" s="4"/>
      <c r="M111" s="4"/>
      <c r="N111" s="4"/>
    </row>
    <row r="112" spans="1:14" ht="13" x14ac:dyDescent="0.15">
      <c r="A112" s="5"/>
      <c r="B112" s="4"/>
      <c r="C112" s="4"/>
      <c r="F112" s="5" t="s">
        <v>9</v>
      </c>
      <c r="G112">
        <f>C111/C194*100</f>
        <v>0.50614476871985215</v>
      </c>
      <c r="H112" s="5" t="s">
        <v>14</v>
      </c>
      <c r="I112">
        <v>1</v>
      </c>
      <c r="J112">
        <v>2</v>
      </c>
      <c r="L112" s="4"/>
      <c r="M112" s="4"/>
      <c r="N112" s="4"/>
    </row>
    <row r="113" spans="1:14" ht="13" x14ac:dyDescent="0.15">
      <c r="A113" s="5" t="s">
        <v>266</v>
      </c>
      <c r="B113" s="4">
        <v>0</v>
      </c>
      <c r="C113" s="4">
        <f>118.371/(149.4+118.371+442.8+642.948-614.887+3102.241+0.13+83.456+165.6+324+253.2+32.88+109.2)*D$4</f>
        <v>77.87663736382089</v>
      </c>
      <c r="D113" s="5">
        <v>0</v>
      </c>
      <c r="F113" s="5" t="s">
        <v>360</v>
      </c>
      <c r="G113">
        <f>B170/$B$194*100</f>
        <v>0.40102317548954225</v>
      </c>
      <c r="H113" s="5" t="s">
        <v>360</v>
      </c>
      <c r="I113">
        <v>0</v>
      </c>
      <c r="J113">
        <v>1</v>
      </c>
      <c r="L113" s="4"/>
      <c r="M113" s="4"/>
      <c r="N113" s="4"/>
    </row>
    <row r="114" spans="1:14" ht="13" x14ac:dyDescent="0.15">
      <c r="A114" s="5"/>
      <c r="B114" s="4"/>
      <c r="C114" s="4"/>
      <c r="D114" s="5"/>
      <c r="F114" s="5" t="s">
        <v>360</v>
      </c>
      <c r="G114">
        <f>C113/C194*100</f>
        <v>0.40102317548954225</v>
      </c>
      <c r="H114" s="5" t="s">
        <v>14</v>
      </c>
      <c r="I114">
        <v>1</v>
      </c>
      <c r="J114">
        <v>2</v>
      </c>
      <c r="L114" s="4"/>
      <c r="M114" s="4"/>
      <c r="N114" s="4"/>
    </row>
    <row r="115" spans="1:14" ht="13" x14ac:dyDescent="0.15">
      <c r="A115" s="5" t="s">
        <v>254</v>
      </c>
      <c r="B115" s="4">
        <v>0</v>
      </c>
      <c r="C115" s="4">
        <f>442.8/(149.4+118.371+442.8+642.948-614.887+3102.241+0.13+83.456+165.6+324+253.2+32.88+109.2)*D$4</f>
        <v>291.31945345312522</v>
      </c>
      <c r="D115" s="5">
        <v>0</v>
      </c>
      <c r="F115" s="5" t="s">
        <v>37</v>
      </c>
      <c r="G115">
        <f>B171/$B$194*100</f>
        <v>1.5001399169287182</v>
      </c>
      <c r="H115" s="5" t="s">
        <v>37</v>
      </c>
      <c r="I115">
        <v>0</v>
      </c>
      <c r="J115">
        <v>1</v>
      </c>
      <c r="L115" s="4"/>
      <c r="M115" s="4"/>
      <c r="N115" s="4"/>
    </row>
    <row r="116" spans="1:14" ht="13" x14ac:dyDescent="0.15">
      <c r="A116" s="5"/>
      <c r="B116" s="4"/>
      <c r="C116" s="4"/>
      <c r="D116" s="5"/>
      <c r="F116" s="5" t="s">
        <v>37</v>
      </c>
      <c r="G116">
        <f>C115/C194*100</f>
        <v>1.5001399169287182</v>
      </c>
      <c r="H116" s="5" t="s">
        <v>14</v>
      </c>
      <c r="I116">
        <v>1</v>
      </c>
      <c r="J116">
        <v>2</v>
      </c>
      <c r="L116" s="4"/>
      <c r="M116" s="4"/>
      <c r="N116" s="4"/>
    </row>
    <row r="117" spans="1:14" ht="13" x14ac:dyDescent="0.15">
      <c r="A117" s="5" t="s">
        <v>123</v>
      </c>
      <c r="B117" s="4">
        <v>0</v>
      </c>
      <c r="C117" s="4">
        <f>3102.241/(149.4+118.371+442.8+642.948-614.887+3102.241+0.13+83.456+165.6+324+253.2+32.88+109.2)*D$4</f>
        <v>2040.9736960250154</v>
      </c>
      <c r="D117" s="5">
        <v>0</v>
      </c>
      <c r="F117" s="5" t="s">
        <v>347</v>
      </c>
      <c r="G117">
        <f>B172/$B$194*100</f>
        <v>10.509926729974852</v>
      </c>
      <c r="H117" s="5" t="s">
        <v>347</v>
      </c>
      <c r="I117">
        <v>0</v>
      </c>
      <c r="J117">
        <v>1</v>
      </c>
      <c r="L117" s="4"/>
      <c r="M117" s="4"/>
      <c r="N117" s="4"/>
    </row>
    <row r="118" spans="1:14" ht="13" x14ac:dyDescent="0.15">
      <c r="A118" s="5"/>
      <c r="B118" s="4"/>
      <c r="C118" s="4"/>
      <c r="D118" s="5"/>
      <c r="F118" s="5" t="s">
        <v>347</v>
      </c>
      <c r="G118">
        <f>C117/C194*100</f>
        <v>10.509926729974852</v>
      </c>
      <c r="H118" s="5" t="s">
        <v>14</v>
      </c>
      <c r="I118">
        <v>1</v>
      </c>
      <c r="J118">
        <v>2</v>
      </c>
      <c r="L118" s="4"/>
      <c r="M118" s="4"/>
      <c r="N118" s="4"/>
    </row>
    <row r="119" spans="1:14" ht="13" x14ac:dyDescent="0.15">
      <c r="A119" s="5" t="s">
        <v>180</v>
      </c>
      <c r="B119" s="9">
        <v>0</v>
      </c>
      <c r="C119" s="4">
        <f>0.13/(149.4+118.371+442.8+642.948-614.887+3102.241+0.13+83.456+165.6+324+253.2+32.88+109.2)*D$4</f>
        <v>8.5527391483528198E-2</v>
      </c>
      <c r="D119" s="5">
        <v>0</v>
      </c>
      <c r="F119" s="5" t="s">
        <v>357</v>
      </c>
      <c r="G119">
        <f>B173/$B$194*100</f>
        <v>4.4042048148313772E-4</v>
      </c>
      <c r="H119" s="5" t="s">
        <v>357</v>
      </c>
      <c r="I119">
        <v>0</v>
      </c>
      <c r="J119">
        <v>1</v>
      </c>
      <c r="L119" s="4"/>
      <c r="M119" s="4"/>
      <c r="N119" s="4"/>
    </row>
    <row r="120" spans="1:14" ht="13" x14ac:dyDescent="0.15">
      <c r="A120" s="5"/>
      <c r="B120" s="9"/>
      <c r="C120" s="4"/>
      <c r="D120" s="5"/>
      <c r="F120" s="5" t="s">
        <v>357</v>
      </c>
      <c r="G120">
        <f>C119/C194*100</f>
        <v>4.4042048148313772E-4</v>
      </c>
      <c r="H120" s="5" t="s">
        <v>14</v>
      </c>
      <c r="I120">
        <v>1</v>
      </c>
      <c r="J120">
        <v>2</v>
      </c>
      <c r="L120" s="4"/>
      <c r="M120" s="4"/>
      <c r="N120" s="4"/>
    </row>
    <row r="121" spans="1:14" ht="13" x14ac:dyDescent="0.15">
      <c r="A121" s="5" t="s">
        <v>257</v>
      </c>
      <c r="B121" s="9">
        <v>0</v>
      </c>
      <c r="C121" s="4">
        <f>83.456/(149.4+118.371+442.8+642.948-614.887+3102.241+0.13+83.456+165.6+324+253.2+32.88+109.2)*D$4</f>
        <v>54.905953720379458</v>
      </c>
      <c r="D121" s="5">
        <v>0</v>
      </c>
      <c r="F121" s="5" t="s">
        <v>361</v>
      </c>
      <c r="G121">
        <f>B174/$B$194*100</f>
        <v>0.28273639771274417</v>
      </c>
      <c r="H121" s="5" t="s">
        <v>361</v>
      </c>
      <c r="I121">
        <v>0</v>
      </c>
      <c r="J121">
        <v>1</v>
      </c>
      <c r="L121" s="4"/>
      <c r="M121" s="4"/>
      <c r="N121" s="4"/>
    </row>
    <row r="122" spans="1:14" ht="13" x14ac:dyDescent="0.15">
      <c r="A122" s="5"/>
      <c r="B122" s="9"/>
      <c r="C122" s="4"/>
      <c r="D122" s="5"/>
      <c r="F122" s="5" t="s">
        <v>361</v>
      </c>
      <c r="G122">
        <f>C121/C194*100</f>
        <v>0.28273639771274417</v>
      </c>
      <c r="H122" s="5" t="s">
        <v>14</v>
      </c>
      <c r="I122">
        <v>1</v>
      </c>
      <c r="J122">
        <v>2</v>
      </c>
      <c r="L122" s="4"/>
      <c r="M122" s="4"/>
      <c r="N122" s="4"/>
    </row>
    <row r="123" spans="1:14" ht="13" x14ac:dyDescent="0.15">
      <c r="A123" s="5" t="s">
        <v>258</v>
      </c>
      <c r="B123" s="9">
        <v>0</v>
      </c>
      <c r="C123" s="4">
        <f>324/(149.4+118.371+442.8+642.948-614.887+3102.241+0.13+83.456+165.6+324+253.2+32.88+109.2)*D$4</f>
        <v>213.16057569740872</v>
      </c>
      <c r="D123" s="5">
        <v>0</v>
      </c>
      <c r="F123" s="5" t="s">
        <v>359</v>
      </c>
      <c r="G123">
        <f>B175/$B$194*100</f>
        <v>0.34002197799416811</v>
      </c>
      <c r="H123" s="6" t="s">
        <v>362</v>
      </c>
      <c r="I123">
        <v>0</v>
      </c>
      <c r="J123">
        <v>1</v>
      </c>
      <c r="L123" s="4"/>
      <c r="M123" s="4"/>
      <c r="N123" s="4"/>
    </row>
    <row r="124" spans="1:14" ht="13" x14ac:dyDescent="0.15">
      <c r="A124" s="5" t="s">
        <v>137</v>
      </c>
      <c r="B124" s="9">
        <v>0</v>
      </c>
      <c r="C124" s="4">
        <f>253.2/(149.4+118.371+442.8+642.948-614.887+3102.241+0.13+83.456+165.6+324+253.2+32.88+109.2)*D$4</f>
        <v>166.58104248945645</v>
      </c>
      <c r="D124" s="5">
        <v>0</v>
      </c>
      <c r="F124" s="5" t="s">
        <v>362</v>
      </c>
      <c r="G124">
        <f>B176/$B$194*100</f>
        <v>0.75764137585611357</v>
      </c>
      <c r="H124" s="5" t="s">
        <v>362</v>
      </c>
      <c r="I124">
        <v>0</v>
      </c>
      <c r="J124">
        <v>1</v>
      </c>
      <c r="L124" s="4"/>
      <c r="M124" s="4"/>
      <c r="N124" s="4"/>
    </row>
    <row r="125" spans="1:14" ht="13" x14ac:dyDescent="0.15">
      <c r="A125" s="5"/>
      <c r="B125" s="9"/>
      <c r="C125" s="4"/>
      <c r="D125" s="5"/>
      <c r="F125" s="6" t="s">
        <v>362</v>
      </c>
      <c r="G125">
        <f>C123/C194*100</f>
        <v>1.0976633538502816</v>
      </c>
      <c r="H125" s="5" t="s">
        <v>14</v>
      </c>
      <c r="I125">
        <v>1</v>
      </c>
      <c r="J125">
        <v>2</v>
      </c>
      <c r="L125" s="4"/>
      <c r="M125" s="4"/>
      <c r="N125" s="4"/>
    </row>
    <row r="126" spans="1:14" ht="13" x14ac:dyDescent="0.15">
      <c r="A126" s="5" t="s">
        <v>142</v>
      </c>
      <c r="B126" s="9">
        <v>0</v>
      </c>
      <c r="C126" s="4">
        <f>32.88/(149.4+118.371+442.8+642.948-614.887+3102.241+0.13+83.456+165.6+324+253.2+32.88+109.2)*D$4</f>
        <v>21.631851015218515</v>
      </c>
      <c r="D126" s="5">
        <v>0</v>
      </c>
      <c r="F126" s="5" t="s">
        <v>346</v>
      </c>
      <c r="G126">
        <f>B177/$B$194*100</f>
        <v>0.85780358393484979</v>
      </c>
      <c r="H126" s="5" t="s">
        <v>346</v>
      </c>
      <c r="I126">
        <v>0</v>
      </c>
      <c r="J126">
        <v>1</v>
      </c>
      <c r="L126" s="4"/>
      <c r="M126" s="4"/>
      <c r="N126" s="4"/>
    </row>
    <row r="127" spans="1:14" ht="13" x14ac:dyDescent="0.15">
      <c r="A127" s="5"/>
      <c r="B127" s="9"/>
      <c r="C127" s="4"/>
      <c r="D127" s="5"/>
      <c r="F127" s="5" t="s">
        <v>346</v>
      </c>
      <c r="G127">
        <f>C124/C194*100</f>
        <v>0.85780358393484979</v>
      </c>
      <c r="H127" s="5" t="s">
        <v>14</v>
      </c>
      <c r="I127">
        <v>1</v>
      </c>
      <c r="J127">
        <v>2</v>
      </c>
      <c r="L127" s="4"/>
      <c r="M127" s="4"/>
      <c r="N127" s="4"/>
    </row>
    <row r="128" spans="1:14" ht="13" x14ac:dyDescent="0.15">
      <c r="A128" s="5" t="s">
        <v>273</v>
      </c>
      <c r="B128" s="9">
        <v>0</v>
      </c>
      <c r="C128" s="4">
        <f>109.2/(149.4+118.371+442.8+642.948-614.887+3102.241+0.13+83.456+165.6+324+253.2+32.88+109.2)*D$4</f>
        <v>71.843008846163684</v>
      </c>
      <c r="D128" s="5">
        <v>0</v>
      </c>
      <c r="F128" s="5" t="s">
        <v>6</v>
      </c>
      <c r="G128">
        <f>B178/$B$194*100</f>
        <v>0.1113925033166582</v>
      </c>
      <c r="H128" s="5" t="s">
        <v>6</v>
      </c>
      <c r="I128">
        <v>0</v>
      </c>
      <c r="J128">
        <v>1</v>
      </c>
      <c r="L128" s="4"/>
      <c r="M128" s="4"/>
      <c r="N128" s="4"/>
    </row>
    <row r="129" spans="1:14" ht="13" x14ac:dyDescent="0.15">
      <c r="A129" s="5"/>
      <c r="B129" s="9"/>
      <c r="C129" s="4"/>
      <c r="D129" s="5"/>
      <c r="F129" s="5" t="s">
        <v>6</v>
      </c>
      <c r="G129">
        <f>C126/C194*100</f>
        <v>0.1113925033166582</v>
      </c>
      <c r="H129" s="5" t="s">
        <v>14</v>
      </c>
      <c r="I129">
        <v>1</v>
      </c>
      <c r="J129">
        <v>2</v>
      </c>
      <c r="L129" s="4"/>
      <c r="M129" s="4"/>
      <c r="N129" s="4"/>
    </row>
    <row r="130" spans="1:14" ht="13" x14ac:dyDescent="0.15">
      <c r="A130" s="5" t="s">
        <v>80</v>
      </c>
      <c r="B130" s="9">
        <v>0</v>
      </c>
      <c r="C130" s="4">
        <f>1890.269/(117.6+238.298+56.4+1890.269+1523.4+88.93+59.42+610.819+25.8+11.4+4.8+9)*D$5</f>
        <v>2150.1237636903702</v>
      </c>
      <c r="D130" s="5">
        <v>0</v>
      </c>
      <c r="F130" s="5" t="s">
        <v>363</v>
      </c>
      <c r="G130">
        <f>B179/$B$194*100</f>
        <v>0.36995320444583568</v>
      </c>
      <c r="H130" s="5" t="s">
        <v>363</v>
      </c>
      <c r="I130">
        <v>0</v>
      </c>
      <c r="J130">
        <v>1</v>
      </c>
      <c r="L130" s="4"/>
      <c r="M130" s="4"/>
      <c r="N130" s="4"/>
    </row>
    <row r="131" spans="1:14" ht="13" x14ac:dyDescent="0.15">
      <c r="A131" s="5"/>
      <c r="B131" s="9"/>
      <c r="C131" s="4"/>
      <c r="D131" s="5"/>
      <c r="F131" s="5" t="s">
        <v>363</v>
      </c>
      <c r="G131">
        <f>C128/C194*100</f>
        <v>0.36995320444583568</v>
      </c>
      <c r="H131" s="5" t="s">
        <v>14</v>
      </c>
      <c r="I131">
        <v>1</v>
      </c>
      <c r="J131">
        <v>2</v>
      </c>
      <c r="L131" s="4"/>
      <c r="M131" s="4"/>
      <c r="N131" s="4"/>
    </row>
    <row r="132" spans="1:14" ht="13" x14ac:dyDescent="0.15">
      <c r="A132" s="5" t="s">
        <v>182</v>
      </c>
      <c r="B132" s="9">
        <v>0</v>
      </c>
      <c r="C132" s="4">
        <f>610.819/(117.6+238.298+56.4+1890.269+1523.4+88.93+59.42+610.819+25.8+11.4+4.8+9)*D$5</f>
        <v>694.7881212745848</v>
      </c>
      <c r="D132" s="5">
        <v>0</v>
      </c>
      <c r="F132" s="32" t="s">
        <v>10</v>
      </c>
      <c r="G132">
        <f>B180/$B$194*100</f>
        <v>2.3477667734628551</v>
      </c>
      <c r="H132" s="7" t="s">
        <v>10</v>
      </c>
      <c r="I132">
        <v>0</v>
      </c>
      <c r="J132">
        <v>1</v>
      </c>
      <c r="L132" s="4"/>
      <c r="M132" s="4"/>
      <c r="N132" s="4"/>
    </row>
    <row r="133" spans="1:14" ht="13" x14ac:dyDescent="0.15">
      <c r="A133" s="5" t="s">
        <v>261</v>
      </c>
      <c r="B133" s="9">
        <v>0</v>
      </c>
      <c r="C133" s="4">
        <f>1523.4/(117.6+238.298+56.4+1890.269+1523.4+88.93+59.42+610.819+25.8+11.4+4.8+9)*D$5</f>
        <v>1732.8213823566434</v>
      </c>
      <c r="D133" s="5">
        <v>0</v>
      </c>
      <c r="F133" s="5" t="s">
        <v>359</v>
      </c>
      <c r="G133">
        <f>B181/$B$194*100</f>
        <v>8.7242246298435902</v>
      </c>
      <c r="H133" s="32" t="s">
        <v>10</v>
      </c>
      <c r="I133">
        <v>0</v>
      </c>
      <c r="J133">
        <v>1</v>
      </c>
      <c r="L133" s="4"/>
      <c r="M133" s="4"/>
      <c r="N133" s="4"/>
    </row>
    <row r="134" spans="1:14" ht="13" x14ac:dyDescent="0.15">
      <c r="A134" s="5"/>
      <c r="B134" s="9"/>
      <c r="C134" s="4"/>
      <c r="D134" s="5"/>
      <c r="F134" s="7" t="s">
        <v>10</v>
      </c>
      <c r="G134">
        <f>C130/C194*100</f>
        <v>11.071991403306445</v>
      </c>
      <c r="H134" s="5" t="s">
        <v>15</v>
      </c>
      <c r="I134">
        <v>1</v>
      </c>
      <c r="J134">
        <v>2</v>
      </c>
      <c r="L134" s="4"/>
      <c r="M134" s="4"/>
      <c r="N134" s="4"/>
    </row>
    <row r="135" spans="1:14" ht="13" x14ac:dyDescent="0.15">
      <c r="A135" s="5" t="s">
        <v>262</v>
      </c>
      <c r="B135" s="9">
        <v>0</v>
      </c>
      <c r="C135" s="4">
        <f>117.6/(117.6+238.298+56.4+1890.269+1523.4+88.93+59.42+610.819+25.8+11.4+4.8+9)*D$5</f>
        <v>133.76643991410086</v>
      </c>
      <c r="D135" s="5">
        <v>0</v>
      </c>
      <c r="F135" s="5" t="s">
        <v>14</v>
      </c>
      <c r="G135">
        <f>B182/$B$194*100</f>
        <v>3.5777885142147698</v>
      </c>
      <c r="H135" s="5" t="s">
        <v>14</v>
      </c>
      <c r="I135">
        <v>0</v>
      </c>
      <c r="J135">
        <v>1</v>
      </c>
      <c r="L135" s="4"/>
      <c r="M135" s="4"/>
      <c r="N135" s="4"/>
    </row>
    <row r="136" spans="1:14" ht="13" x14ac:dyDescent="0.15">
      <c r="A136" s="5"/>
      <c r="B136" s="9"/>
      <c r="C136" s="4"/>
      <c r="D136" s="5"/>
      <c r="F136" s="5" t="s">
        <v>14</v>
      </c>
      <c r="G136">
        <f>C132/C194*100</f>
        <v>3.5777885142147698</v>
      </c>
      <c r="H136" s="5" t="s">
        <v>15</v>
      </c>
      <c r="I136">
        <v>1</v>
      </c>
      <c r="J136">
        <v>2</v>
      </c>
      <c r="L136" s="4"/>
      <c r="M136" s="4"/>
      <c r="N136" s="4"/>
    </row>
    <row r="137" spans="1:14" ht="13" x14ac:dyDescent="0.15">
      <c r="A137" s="5" t="s">
        <v>277</v>
      </c>
      <c r="B137" s="4">
        <v>0</v>
      </c>
      <c r="C137" s="5">
        <f>238.298/(117.6+238.298+56.4+1890.269+1523.4+88.93+59.42+610.819+25.8+11.4+4.8+9)*D$5</f>
        <v>271.05676104294565</v>
      </c>
      <c r="D137" s="5">
        <v>0</v>
      </c>
      <c r="F137" s="5" t="s">
        <v>271</v>
      </c>
      <c r="G137">
        <f>B183/$B$194*100</f>
        <v>8.9231065545681805</v>
      </c>
      <c r="H137" s="5" t="s">
        <v>359</v>
      </c>
      <c r="I137">
        <v>0</v>
      </c>
      <c r="J137">
        <v>1</v>
      </c>
      <c r="L137" s="4"/>
      <c r="M137" s="4"/>
      <c r="N137" s="4"/>
    </row>
    <row r="138" spans="1:14" ht="13" x14ac:dyDescent="0.15">
      <c r="A138" s="5"/>
      <c r="B138" s="4"/>
      <c r="C138" s="5"/>
      <c r="D138" s="5"/>
      <c r="F138" s="5" t="s">
        <v>359</v>
      </c>
      <c r="G138">
        <f>C133/C194*100</f>
        <v>8.9231065545681805</v>
      </c>
      <c r="H138" s="5" t="s">
        <v>15</v>
      </c>
      <c r="I138">
        <v>1</v>
      </c>
      <c r="J138">
        <v>2</v>
      </c>
      <c r="L138" s="4"/>
      <c r="M138" s="4"/>
      <c r="N138" s="4"/>
    </row>
    <row r="139" spans="1:14" ht="13" x14ac:dyDescent="0.15">
      <c r="A139" s="5" t="s">
        <v>264</v>
      </c>
      <c r="B139" s="4">
        <v>0</v>
      </c>
      <c r="C139" s="5">
        <f>56.4/(117.6+238.298+56.4+1890.269+1523.4+88.93+59.42+610.819+25.8+11.4+4.8+9)*D$5</f>
        <v>64.1532926118647</v>
      </c>
      <c r="D139" s="5">
        <v>0</v>
      </c>
      <c r="F139" s="5" t="s">
        <v>9</v>
      </c>
      <c r="G139">
        <f>B184/$B$194*100</f>
        <v>0.68882587030144271</v>
      </c>
      <c r="H139" s="5" t="s">
        <v>9</v>
      </c>
      <c r="I139">
        <v>0</v>
      </c>
      <c r="J139">
        <v>1</v>
      </c>
      <c r="L139" s="4"/>
      <c r="M139" s="4"/>
      <c r="N139" s="4"/>
    </row>
    <row r="140" spans="1:14" ht="13" x14ac:dyDescent="0.15">
      <c r="A140" s="5"/>
      <c r="B140" s="4"/>
      <c r="C140" s="5"/>
      <c r="D140" s="5"/>
      <c r="F140" s="5" t="s">
        <v>9</v>
      </c>
      <c r="G140">
        <f>C135/C194*100</f>
        <v>0.68882587030144271</v>
      </c>
      <c r="H140" s="5" t="s">
        <v>15</v>
      </c>
      <c r="I140">
        <v>1</v>
      </c>
      <c r="J140">
        <v>2</v>
      </c>
      <c r="L140" s="4"/>
      <c r="M140" s="4"/>
      <c r="N140" s="4"/>
    </row>
    <row r="141" spans="1:14" ht="13" x14ac:dyDescent="0.15">
      <c r="A141" s="5" t="s">
        <v>129</v>
      </c>
      <c r="B141" s="4">
        <v>0</v>
      </c>
      <c r="C141" s="5">
        <f>88.93/(117.6+238.298+56.4+1890.269+1523.4+88.93+59.42+610.819+25.8+11.4+4.8+9)*D$5</f>
        <v>101.15518283640299</v>
      </c>
      <c r="D141" s="5">
        <v>0</v>
      </c>
      <c r="F141" s="5" t="s">
        <v>360</v>
      </c>
      <c r="G141">
        <f>B185/$B$194*100</f>
        <v>1.3957978506895683</v>
      </c>
      <c r="H141" s="5" t="s">
        <v>360</v>
      </c>
      <c r="I141">
        <v>0</v>
      </c>
      <c r="J141">
        <v>1</v>
      </c>
      <c r="L141" s="4"/>
      <c r="M141" s="4"/>
      <c r="N141" s="4"/>
    </row>
    <row r="142" spans="1:14" ht="13" x14ac:dyDescent="0.15">
      <c r="A142" s="5"/>
      <c r="B142" s="4"/>
      <c r="C142" s="5"/>
      <c r="D142" s="5"/>
      <c r="F142" s="5" t="s">
        <v>360</v>
      </c>
      <c r="G142">
        <f>C137/C194*100</f>
        <v>1.3957978506895683</v>
      </c>
      <c r="H142" s="5" t="s">
        <v>15</v>
      </c>
      <c r="I142">
        <v>1</v>
      </c>
      <c r="J142">
        <v>2</v>
      </c>
      <c r="L142" s="4"/>
      <c r="M142" s="4"/>
      <c r="N142" s="4"/>
    </row>
    <row r="143" spans="1:14" ht="13" x14ac:dyDescent="0.15">
      <c r="A143" s="5" t="s">
        <v>183</v>
      </c>
      <c r="B143" s="9">
        <v>0</v>
      </c>
      <c r="C143" s="5">
        <f>59.42/(117.6+238.298+56.4+1890.269+1523.4+88.93+59.42+610.819+25.8+11.4+4.8+9)*D$5</f>
        <v>67.588451187890072</v>
      </c>
      <c r="D143" s="5">
        <v>0</v>
      </c>
      <c r="F143" s="5" t="s">
        <v>37</v>
      </c>
      <c r="G143">
        <f>B186/$B$194*100</f>
        <v>0.33035526432824297</v>
      </c>
      <c r="H143" s="5" t="s">
        <v>37</v>
      </c>
      <c r="I143">
        <v>0</v>
      </c>
      <c r="J143">
        <v>1</v>
      </c>
      <c r="L143" s="4"/>
      <c r="M143" s="4"/>
      <c r="N143" s="4"/>
    </row>
    <row r="144" spans="1:14" ht="13" x14ac:dyDescent="0.15">
      <c r="A144" s="5"/>
      <c r="B144" s="9"/>
      <c r="C144" s="5"/>
      <c r="D144" s="5"/>
      <c r="F144" s="5" t="s">
        <v>37</v>
      </c>
      <c r="G144">
        <f>C139/C194*100</f>
        <v>0.33035526432824297</v>
      </c>
      <c r="H144" s="5" t="s">
        <v>15</v>
      </c>
      <c r="I144">
        <v>1</v>
      </c>
      <c r="J144">
        <v>2</v>
      </c>
      <c r="L144" s="4"/>
      <c r="M144" s="4"/>
      <c r="N144" s="4"/>
    </row>
    <row r="145" spans="1:14" ht="13" x14ac:dyDescent="0.15">
      <c r="A145" s="5" t="s">
        <v>265</v>
      </c>
      <c r="B145" s="9">
        <v>0</v>
      </c>
      <c r="C145" s="5">
        <f>25.8/(117.6+238.298+56.4+1890.269+1523.4+88.93+59.42+610.819+25.8+11.4+4.8+9)*D$5</f>
        <v>29.346718960746621</v>
      </c>
      <c r="D145" s="5">
        <v>0</v>
      </c>
      <c r="F145" s="5" t="s">
        <v>347</v>
      </c>
      <c r="G145">
        <f>B187/$B$194*100</f>
        <v>0.52089527760125265</v>
      </c>
      <c r="H145" s="5" t="s">
        <v>347</v>
      </c>
      <c r="I145">
        <v>0</v>
      </c>
      <c r="J145">
        <v>1</v>
      </c>
      <c r="L145" s="4"/>
      <c r="M145" s="4"/>
      <c r="N145" s="4"/>
    </row>
    <row r="146" spans="1:14" ht="13" x14ac:dyDescent="0.15">
      <c r="A146" s="5"/>
      <c r="B146" s="9"/>
      <c r="C146" s="5"/>
      <c r="D146" s="5"/>
      <c r="F146" s="5" t="s">
        <v>347</v>
      </c>
      <c r="G146">
        <f>C141/C194*100</f>
        <v>0.52089527760125265</v>
      </c>
      <c r="H146" s="5" t="s">
        <v>15</v>
      </c>
      <c r="I146">
        <v>1</v>
      </c>
      <c r="J146">
        <v>2</v>
      </c>
      <c r="L146" s="4"/>
      <c r="M146" s="4"/>
      <c r="N146" s="4"/>
    </row>
    <row r="147" spans="1:14" ht="13" x14ac:dyDescent="0.15">
      <c r="A147" s="5" t="s">
        <v>127</v>
      </c>
      <c r="B147" s="9">
        <v>0</v>
      </c>
      <c r="C147" s="5">
        <f>11.4/(117.6+238.298+56.4+1890.269+1523.4+88.93+59.42+610.819+25.8+11.4+4.8+9)*D$5</f>
        <v>12.967154889632226</v>
      </c>
      <c r="D147" s="5">
        <v>0</v>
      </c>
      <c r="F147" s="5" t="s">
        <v>357</v>
      </c>
      <c r="G147">
        <f>B188/$B$194*100</f>
        <v>0.34804450011319493</v>
      </c>
      <c r="H147" s="5" t="s">
        <v>357</v>
      </c>
      <c r="I147">
        <v>0</v>
      </c>
      <c r="J147">
        <v>1</v>
      </c>
      <c r="L147" s="4"/>
      <c r="M147" s="4"/>
      <c r="N147" s="4"/>
    </row>
    <row r="148" spans="1:14" ht="13" x14ac:dyDescent="0.15">
      <c r="A148" s="5"/>
      <c r="B148" s="9"/>
      <c r="C148" s="5"/>
      <c r="D148" s="5"/>
      <c r="F148" s="5" t="s">
        <v>357</v>
      </c>
      <c r="G148">
        <f>C143/C194*100</f>
        <v>0.34804450011319493</v>
      </c>
      <c r="H148" s="5" t="s">
        <v>15</v>
      </c>
      <c r="I148">
        <v>1</v>
      </c>
      <c r="J148">
        <v>2</v>
      </c>
      <c r="L148" s="4"/>
      <c r="M148" s="4"/>
      <c r="N148" s="4"/>
    </row>
    <row r="149" spans="1:14" ht="13" x14ac:dyDescent="0.15">
      <c r="A149" s="5" t="s">
        <v>145</v>
      </c>
      <c r="B149" s="9">
        <v>0</v>
      </c>
      <c r="C149" s="5">
        <f>4.8/(117.6+238.298+56.4+1890.269+1523.4+88.93+59.42+610.819+25.8+11.4+4.8+9)*D$5</f>
        <v>5.4598546903714631</v>
      </c>
      <c r="D149" s="5">
        <v>0</v>
      </c>
      <c r="F149" s="5" t="s">
        <v>359</v>
      </c>
      <c r="G149">
        <f>B189/$B$194*100</f>
        <v>4.6812265335767378E-2</v>
      </c>
      <c r="H149" s="5" t="s">
        <v>362</v>
      </c>
      <c r="I149">
        <v>0</v>
      </c>
      <c r="J149">
        <v>1</v>
      </c>
      <c r="L149" s="4"/>
      <c r="M149" s="4"/>
      <c r="N149" s="4"/>
    </row>
    <row r="150" spans="1:14" ht="13" x14ac:dyDescent="0.15">
      <c r="A150" s="5" t="s">
        <v>278</v>
      </c>
      <c r="B150" s="9">
        <v>0</v>
      </c>
      <c r="C150" s="5">
        <f>9/(117.6+238.298+56.4+1890.269+1523.4+88.93+59.42+610.819+25.8+11.4+4.8+9)*D$5</f>
        <v>10.237227544446494</v>
      </c>
      <c r="D150" s="5">
        <v>0</v>
      </c>
      <c r="F150" s="5" t="s">
        <v>362</v>
      </c>
      <c r="G150">
        <f>B190/$B$194*100</f>
        <v>0.10430769600587571</v>
      </c>
      <c r="H150" s="5" t="s">
        <v>362</v>
      </c>
      <c r="I150">
        <v>0</v>
      </c>
      <c r="J150">
        <v>1</v>
      </c>
      <c r="L150" s="4"/>
      <c r="M150" s="4"/>
      <c r="N150" s="4"/>
    </row>
    <row r="151" spans="1:14" ht="13" x14ac:dyDescent="0.15">
      <c r="A151" s="5"/>
      <c r="B151" s="9"/>
      <c r="C151" s="5"/>
      <c r="D151" s="5"/>
      <c r="F151" s="5" t="s">
        <v>362</v>
      </c>
      <c r="G151">
        <f>C145/C194*100</f>
        <v>0.15111996134164307</v>
      </c>
      <c r="H151" s="5" t="s">
        <v>15</v>
      </c>
      <c r="I151">
        <v>1</v>
      </c>
      <c r="J151">
        <v>2</v>
      </c>
      <c r="L151" s="4"/>
      <c r="M151" s="4"/>
      <c r="N151" s="4"/>
    </row>
    <row r="152" spans="1:14" ht="13" x14ac:dyDescent="0.15">
      <c r="A152" s="5" t="s">
        <v>50</v>
      </c>
      <c r="B152" s="4">
        <f>2136.55/(2136.55+7939.35)*C89</f>
        <v>651.80349884601469</v>
      </c>
      <c r="C152" s="4">
        <v>0</v>
      </c>
      <c r="D152" s="5">
        <v>0</v>
      </c>
      <c r="F152" s="5" t="s">
        <v>346</v>
      </c>
      <c r="G152">
        <f>B191/$B$194*100</f>
        <v>6.6773936406772511E-2</v>
      </c>
      <c r="H152" s="5" t="s">
        <v>346</v>
      </c>
      <c r="I152">
        <v>0</v>
      </c>
      <c r="J152">
        <v>1</v>
      </c>
      <c r="L152" s="4"/>
      <c r="M152" s="4"/>
      <c r="N152" s="4"/>
    </row>
    <row r="153" spans="1:14" ht="13" x14ac:dyDescent="0.15">
      <c r="A153" s="5"/>
      <c r="B153" s="4"/>
      <c r="C153" s="4"/>
      <c r="D153" s="5"/>
      <c r="F153" s="5" t="s">
        <v>346</v>
      </c>
      <c r="G153">
        <f>C147/C194*100</f>
        <v>6.6773936406772511E-2</v>
      </c>
      <c r="H153" s="5" t="s">
        <v>15</v>
      </c>
      <c r="I153">
        <v>1</v>
      </c>
      <c r="J153">
        <v>2</v>
      </c>
      <c r="L153" s="4"/>
      <c r="M153" s="4"/>
      <c r="N153" s="4"/>
    </row>
    <row r="154" spans="1:14" ht="13" x14ac:dyDescent="0.15">
      <c r="A154" s="7" t="s">
        <v>279</v>
      </c>
      <c r="B154" s="4">
        <f>7939.35/(2136.55+7939.35)*C89</f>
        <v>2422.0805076235551</v>
      </c>
      <c r="C154" s="4">
        <v>0</v>
      </c>
      <c r="D154" s="5">
        <v>0</v>
      </c>
      <c r="F154" s="5" t="s">
        <v>6</v>
      </c>
      <c r="G154">
        <f>B192/$B$194*100</f>
        <v>2.8115341644956843E-2</v>
      </c>
      <c r="H154" s="5" t="s">
        <v>6</v>
      </c>
      <c r="I154">
        <v>0</v>
      </c>
      <c r="J154">
        <v>1</v>
      </c>
      <c r="L154" s="4"/>
      <c r="M154" s="4"/>
      <c r="N154" s="4"/>
    </row>
    <row r="155" spans="1:14" ht="13" x14ac:dyDescent="0.15">
      <c r="A155" s="7"/>
      <c r="B155" s="4"/>
      <c r="C155" s="4"/>
      <c r="D155" s="5"/>
      <c r="F155" s="5" t="s">
        <v>6</v>
      </c>
      <c r="G155">
        <f>C149/C194*100</f>
        <v>2.8115341644956843E-2</v>
      </c>
      <c r="H155" s="5" t="s">
        <v>15</v>
      </c>
      <c r="I155">
        <v>1</v>
      </c>
      <c r="J155">
        <v>2</v>
      </c>
      <c r="L155" s="4"/>
      <c r="M155" s="4"/>
      <c r="N155" s="4"/>
    </row>
    <row r="156" spans="1:14" ht="13" x14ac:dyDescent="0.15">
      <c r="A156" s="5" t="s">
        <v>280</v>
      </c>
      <c r="B156" s="4">
        <f>C91</f>
        <v>7788.6862080699411</v>
      </c>
      <c r="C156" s="4">
        <v>0</v>
      </c>
      <c r="D156" s="5">
        <v>0</v>
      </c>
      <c r="F156" s="5" t="s">
        <v>363</v>
      </c>
      <c r="G156">
        <f>B193/$B$194*100</f>
        <v>5.2716265584294091E-2</v>
      </c>
      <c r="H156" s="5" t="s">
        <v>363</v>
      </c>
      <c r="I156">
        <v>0</v>
      </c>
      <c r="J156">
        <v>1</v>
      </c>
      <c r="L156" s="4"/>
      <c r="M156" s="4"/>
      <c r="N156" s="4"/>
    </row>
    <row r="157" spans="1:14" ht="13" x14ac:dyDescent="0.15">
      <c r="A157" s="5" t="s">
        <v>281</v>
      </c>
      <c r="B157" s="4">
        <f>C93</f>
        <v>48.756714622419821</v>
      </c>
      <c r="C157" s="4">
        <v>0</v>
      </c>
      <c r="D157" s="5">
        <v>0</v>
      </c>
      <c r="F157" s="5" t="s">
        <v>363</v>
      </c>
      <c r="G157">
        <f>C150/C194*100</f>
        <v>5.2716265584294091E-2</v>
      </c>
      <c r="H157" s="5" t="s">
        <v>15</v>
      </c>
      <c r="I157">
        <v>1</v>
      </c>
      <c r="J157">
        <v>2</v>
      </c>
      <c r="L157" s="4"/>
      <c r="M157" s="4"/>
      <c r="N157" s="4"/>
    </row>
    <row r="158" spans="1:14" ht="13" x14ac:dyDescent="0.15">
      <c r="A158" s="5" t="s">
        <v>282</v>
      </c>
      <c r="B158" s="4">
        <f>C95</f>
        <v>2.6167164595960646</v>
      </c>
      <c r="C158" s="4">
        <v>0</v>
      </c>
      <c r="D158" s="5">
        <v>0</v>
      </c>
      <c r="L158" s="4"/>
      <c r="M158" s="4"/>
      <c r="N158" s="4"/>
    </row>
    <row r="159" spans="1:14" ht="13" x14ac:dyDescent="0.15">
      <c r="A159" s="5" t="s">
        <v>283</v>
      </c>
      <c r="B159" s="4">
        <f>C97</f>
        <v>43.403556292276022</v>
      </c>
      <c r="C159" s="4">
        <v>0</v>
      </c>
      <c r="D159" s="5">
        <v>0</v>
      </c>
      <c r="L159" s="4"/>
      <c r="M159" s="4"/>
      <c r="N159" s="4"/>
    </row>
    <row r="160" spans="1:14" ht="13" x14ac:dyDescent="0.15">
      <c r="A160" s="5" t="s">
        <v>284</v>
      </c>
      <c r="B160" s="4">
        <f>C99</f>
        <v>22.338869420810724</v>
      </c>
      <c r="C160" s="4">
        <v>0</v>
      </c>
      <c r="D160" s="5">
        <v>0</v>
      </c>
      <c r="L160" s="4"/>
      <c r="M160" s="4"/>
      <c r="N160" s="4"/>
    </row>
    <row r="161" spans="1:14" ht="13" x14ac:dyDescent="0.15">
      <c r="A161" s="5" t="s">
        <v>285</v>
      </c>
      <c r="B161" s="4">
        <f>C100</f>
        <v>3.8994760878649153</v>
      </c>
      <c r="C161" s="4">
        <v>0</v>
      </c>
      <c r="D161" s="5">
        <v>0</v>
      </c>
      <c r="L161" s="4"/>
      <c r="M161" s="4"/>
      <c r="N161" s="4"/>
    </row>
    <row r="162" spans="1:14" ht="13" x14ac:dyDescent="0.15">
      <c r="A162" s="5" t="s">
        <v>286</v>
      </c>
      <c r="B162" s="4">
        <f>1032.15/(1032.15+2299.85)*C102</f>
        <v>2.6130870095396275</v>
      </c>
      <c r="C162" s="4">
        <v>0</v>
      </c>
      <c r="D162" s="5">
        <v>0</v>
      </c>
      <c r="L162" s="4"/>
      <c r="M162" s="4"/>
      <c r="N162" s="4"/>
    </row>
    <row r="163" spans="1:14" ht="13" x14ac:dyDescent="0.15">
      <c r="A163" s="5" t="s">
        <v>287</v>
      </c>
      <c r="B163" s="4">
        <f>2299.85/(1032.15+2299.85)*C102</f>
        <v>5.8225143233926389</v>
      </c>
      <c r="C163" s="4">
        <v>0</v>
      </c>
      <c r="D163" s="5">
        <v>0</v>
      </c>
      <c r="L163" s="4"/>
      <c r="M163" s="4"/>
      <c r="N163" s="4"/>
    </row>
    <row r="164" spans="1:14" ht="13" x14ac:dyDescent="0.15">
      <c r="A164" s="5" t="s">
        <v>288</v>
      </c>
      <c r="B164" s="4">
        <f>C104</f>
        <v>3.2451422318513021</v>
      </c>
      <c r="C164" s="4">
        <v>0</v>
      </c>
      <c r="D164" s="5">
        <v>0</v>
      </c>
      <c r="L164" s="4"/>
      <c r="M164" s="4"/>
      <c r="N164" s="4"/>
    </row>
    <row r="165" spans="1:14" ht="13" x14ac:dyDescent="0.15">
      <c r="A165" s="5" t="s">
        <v>289</v>
      </c>
      <c r="B165" s="4">
        <f>C106</f>
        <v>40.719019012739082</v>
      </c>
      <c r="C165" s="4">
        <v>0</v>
      </c>
      <c r="D165" s="5">
        <v>0</v>
      </c>
      <c r="L165" s="4"/>
      <c r="M165" s="4"/>
      <c r="N165" s="4"/>
    </row>
    <row r="166" spans="1:14" ht="13" x14ac:dyDescent="0.15">
      <c r="A166" s="5" t="s">
        <v>83</v>
      </c>
      <c r="B166" s="4">
        <f>2136.55/(2136.55+7939.35)*C107</f>
        <v>3.9146616397851299</v>
      </c>
      <c r="C166" s="4">
        <v>0</v>
      </c>
      <c r="D166" s="5">
        <v>0</v>
      </c>
      <c r="L166" s="4"/>
      <c r="M166" s="4"/>
      <c r="N166" s="4"/>
    </row>
    <row r="167" spans="1:14" ht="13" x14ac:dyDescent="0.15">
      <c r="A167" s="5" t="s">
        <v>290</v>
      </c>
      <c r="B167" s="4">
        <f>7939.35/(2136.55+7939.35)*C107</f>
        <v>14.546754763440159</v>
      </c>
      <c r="C167" s="4">
        <v>0</v>
      </c>
      <c r="D167" s="5">
        <v>0</v>
      </c>
      <c r="L167" s="4"/>
      <c r="M167" s="4"/>
      <c r="N167" s="4"/>
    </row>
    <row r="168" spans="1:14" ht="13" x14ac:dyDescent="0.15">
      <c r="A168" s="5" t="s">
        <v>291</v>
      </c>
      <c r="B168" s="4">
        <f>C109</f>
        <v>54.905953720379458</v>
      </c>
      <c r="C168" s="4">
        <v>0</v>
      </c>
      <c r="D168" s="5">
        <v>0</v>
      </c>
      <c r="L168" s="4"/>
      <c r="M168" s="4"/>
      <c r="N168" s="4"/>
    </row>
    <row r="169" spans="1:14" ht="13" x14ac:dyDescent="0.15">
      <c r="A169" s="5" t="s">
        <v>267</v>
      </c>
      <c r="B169" s="4">
        <f>C111</f>
        <v>98.290709904916255</v>
      </c>
      <c r="C169" s="4">
        <v>0</v>
      </c>
      <c r="D169" s="5">
        <v>0</v>
      </c>
      <c r="L169" s="4"/>
      <c r="M169" s="4"/>
      <c r="N169" s="4"/>
    </row>
    <row r="170" spans="1:14" ht="13" x14ac:dyDescent="0.15">
      <c r="A170" s="5" t="s">
        <v>292</v>
      </c>
      <c r="B170" s="4">
        <f>C113</f>
        <v>77.87663736382089</v>
      </c>
      <c r="C170" s="4">
        <v>0</v>
      </c>
      <c r="D170" s="5">
        <v>0</v>
      </c>
      <c r="L170" s="4"/>
      <c r="M170" s="4"/>
      <c r="N170" s="4"/>
    </row>
    <row r="171" spans="1:14" ht="13" x14ac:dyDescent="0.15">
      <c r="A171" s="5" t="s">
        <v>268</v>
      </c>
      <c r="B171" s="4">
        <f>C115</f>
        <v>291.31945345312522</v>
      </c>
      <c r="C171" s="4">
        <v>0</v>
      </c>
      <c r="D171" s="5">
        <v>0</v>
      </c>
      <c r="L171" s="4"/>
      <c r="M171" s="4"/>
      <c r="N171" s="4"/>
    </row>
    <row r="172" spans="1:14" ht="13" x14ac:dyDescent="0.15">
      <c r="A172" s="5" t="s">
        <v>293</v>
      </c>
      <c r="B172" s="4">
        <f>C117</f>
        <v>2040.9736960250154</v>
      </c>
      <c r="C172" s="4">
        <v>0</v>
      </c>
      <c r="D172" s="5">
        <v>0</v>
      </c>
      <c r="L172" s="4"/>
      <c r="M172" s="4"/>
      <c r="N172" s="4"/>
    </row>
    <row r="173" spans="1:14" ht="13" x14ac:dyDescent="0.15">
      <c r="A173" s="5" t="s">
        <v>185</v>
      </c>
      <c r="B173" s="4">
        <f>C119</f>
        <v>8.5527391483528198E-2</v>
      </c>
      <c r="C173" s="4">
        <v>0</v>
      </c>
      <c r="D173" s="5">
        <v>0</v>
      </c>
      <c r="L173" s="4"/>
      <c r="M173" s="4"/>
      <c r="N173" s="4"/>
    </row>
    <row r="174" spans="1:14" ht="13" x14ac:dyDescent="0.15">
      <c r="A174" s="5" t="s">
        <v>294</v>
      </c>
      <c r="B174" s="4">
        <f>C121</f>
        <v>54.905953720379458</v>
      </c>
      <c r="C174" s="4">
        <v>0</v>
      </c>
      <c r="D174" s="5">
        <v>0</v>
      </c>
      <c r="L174" s="4"/>
      <c r="M174" s="4"/>
      <c r="N174" s="4"/>
    </row>
    <row r="175" spans="1:14" ht="13" x14ac:dyDescent="0.15">
      <c r="A175" s="5" t="s">
        <v>295</v>
      </c>
      <c r="B175" s="4">
        <f>1032.15/(1032.15+2299.85)*C123</f>
        <v>66.030518669291837</v>
      </c>
      <c r="C175" s="4">
        <v>0</v>
      </c>
      <c r="D175" s="5">
        <v>0</v>
      </c>
      <c r="L175" s="4"/>
      <c r="M175" s="4"/>
      <c r="N175" s="4"/>
    </row>
    <row r="176" spans="1:14" ht="13" x14ac:dyDescent="0.15">
      <c r="A176" s="5" t="s">
        <v>270</v>
      </c>
      <c r="B176" s="4">
        <f>2299.85/(1032.15+2299.85)*C123</f>
        <v>147.13005702811688</v>
      </c>
      <c r="C176" s="4">
        <v>0</v>
      </c>
      <c r="D176" s="5">
        <v>0</v>
      </c>
      <c r="L176" s="4"/>
      <c r="M176" s="4"/>
      <c r="N176" s="4"/>
    </row>
    <row r="177" spans="1:14" ht="13" x14ac:dyDescent="0.15">
      <c r="A177" s="5" t="s">
        <v>166</v>
      </c>
      <c r="B177" s="4">
        <f>C124</f>
        <v>166.58104248945645</v>
      </c>
      <c r="C177" s="4">
        <v>0</v>
      </c>
      <c r="D177" s="5">
        <v>0</v>
      </c>
      <c r="L177" s="4"/>
      <c r="M177" s="4"/>
      <c r="N177" s="4"/>
    </row>
    <row r="178" spans="1:14" ht="13" x14ac:dyDescent="0.15">
      <c r="A178" s="5" t="s">
        <v>296</v>
      </c>
      <c r="B178" s="4">
        <f>C126</f>
        <v>21.631851015218515</v>
      </c>
      <c r="C178" s="4">
        <v>0</v>
      </c>
      <c r="D178" s="5">
        <v>0</v>
      </c>
      <c r="L178" s="4"/>
      <c r="M178" s="4"/>
      <c r="N178" s="4"/>
    </row>
    <row r="179" spans="1:14" ht="13" x14ac:dyDescent="0.15">
      <c r="A179" s="5" t="s">
        <v>297</v>
      </c>
      <c r="B179" s="4">
        <f>C128</f>
        <v>71.843008846163684</v>
      </c>
      <c r="C179" s="4">
        <v>0</v>
      </c>
      <c r="D179" s="5">
        <v>0</v>
      </c>
      <c r="L179" s="4"/>
      <c r="M179" s="4"/>
      <c r="N179" s="4"/>
    </row>
    <row r="180" spans="1:14" ht="13" x14ac:dyDescent="0.15">
      <c r="A180" s="5" t="s">
        <v>85</v>
      </c>
      <c r="B180" s="4">
        <f>2136.55/(2136.55+7939.35)*C130</f>
        <v>455.92422784194565</v>
      </c>
      <c r="C180" s="4">
        <v>0</v>
      </c>
      <c r="D180" s="5">
        <v>0</v>
      </c>
      <c r="L180" s="4"/>
      <c r="M180" s="4"/>
      <c r="N180" s="4"/>
    </row>
    <row r="181" spans="1:14" ht="13" x14ac:dyDescent="0.15">
      <c r="A181" s="5" t="s">
        <v>298</v>
      </c>
      <c r="B181" s="4">
        <f>7939.35/(2136.55+7939.35)*C130</f>
        <v>1694.1995358484244</v>
      </c>
      <c r="C181" s="4">
        <v>0</v>
      </c>
      <c r="D181" s="5">
        <v>0</v>
      </c>
      <c r="L181" s="4"/>
      <c r="M181" s="4"/>
      <c r="N181" s="4"/>
    </row>
    <row r="182" spans="1:14" ht="13" x14ac:dyDescent="0.15">
      <c r="A182" s="5" t="s">
        <v>299</v>
      </c>
      <c r="B182" s="4">
        <f>C132</f>
        <v>694.7881212745848</v>
      </c>
      <c r="C182" s="4">
        <v>0</v>
      </c>
      <c r="D182" s="5">
        <v>0</v>
      </c>
      <c r="L182" s="4"/>
      <c r="M182" s="4"/>
      <c r="N182" s="4"/>
    </row>
    <row r="183" spans="1:14" ht="13" x14ac:dyDescent="0.15">
      <c r="A183" s="5" t="s">
        <v>271</v>
      </c>
      <c r="B183" s="4">
        <f>C133</f>
        <v>1732.8213823566434</v>
      </c>
      <c r="C183" s="4">
        <v>0</v>
      </c>
      <c r="D183" s="5">
        <v>0</v>
      </c>
      <c r="L183" s="4"/>
      <c r="M183" s="4"/>
      <c r="N183" s="4"/>
    </row>
    <row r="184" spans="1:14" ht="13" x14ac:dyDescent="0.15">
      <c r="A184" s="5" t="s">
        <v>274</v>
      </c>
      <c r="B184" s="4">
        <f>C135</f>
        <v>133.76643991410086</v>
      </c>
      <c r="C184" s="4">
        <v>0</v>
      </c>
      <c r="D184" s="5">
        <v>0</v>
      </c>
      <c r="L184" s="4"/>
      <c r="M184" s="4"/>
      <c r="N184" s="4"/>
    </row>
    <row r="185" spans="1:14" ht="13" x14ac:dyDescent="0.15">
      <c r="A185" s="5" t="s">
        <v>300</v>
      </c>
      <c r="B185" s="5">
        <f>C137</f>
        <v>271.05676104294565</v>
      </c>
      <c r="C185" s="4">
        <v>0</v>
      </c>
      <c r="D185" s="5">
        <v>0</v>
      </c>
      <c r="L185" s="4"/>
      <c r="M185" s="4"/>
      <c r="N185" s="4"/>
    </row>
    <row r="186" spans="1:14" ht="13" x14ac:dyDescent="0.15">
      <c r="A186" s="5" t="s">
        <v>275</v>
      </c>
      <c r="B186" s="5">
        <f>C139</f>
        <v>64.1532926118647</v>
      </c>
      <c r="C186" s="4">
        <v>0</v>
      </c>
      <c r="D186" s="5">
        <v>0</v>
      </c>
      <c r="L186" s="4"/>
      <c r="M186" s="4"/>
      <c r="N186" s="4"/>
    </row>
    <row r="187" spans="1:14" ht="13" x14ac:dyDescent="0.15">
      <c r="A187" s="5" t="s">
        <v>301</v>
      </c>
      <c r="B187" s="5">
        <f>C141</f>
        <v>101.15518283640299</v>
      </c>
      <c r="C187" s="4">
        <v>0</v>
      </c>
      <c r="D187" s="5">
        <v>0</v>
      </c>
      <c r="L187" s="4"/>
      <c r="M187" s="4"/>
      <c r="N187" s="4"/>
    </row>
    <row r="188" spans="1:14" ht="13" x14ac:dyDescent="0.15">
      <c r="A188" s="5" t="s">
        <v>194</v>
      </c>
      <c r="B188" s="5">
        <f>C143</f>
        <v>67.588451187890072</v>
      </c>
      <c r="C188" s="4">
        <v>0</v>
      </c>
      <c r="D188" s="5">
        <v>0</v>
      </c>
      <c r="L188" s="4"/>
      <c r="M188" s="4"/>
      <c r="N188" s="4"/>
    </row>
    <row r="189" spans="1:14" ht="13" x14ac:dyDescent="0.15">
      <c r="A189" s="5" t="s">
        <v>302</v>
      </c>
      <c r="B189" s="4">
        <f>1032.15/(1032.15+2299.85)*C145</f>
        <v>9.0907010730295994</v>
      </c>
      <c r="C189" s="4">
        <v>0</v>
      </c>
      <c r="D189" s="5">
        <v>0</v>
      </c>
      <c r="L189" s="4"/>
      <c r="M189" s="4"/>
      <c r="N189" s="4"/>
    </row>
    <row r="190" spans="1:14" ht="13" x14ac:dyDescent="0.15">
      <c r="A190" s="5" t="s">
        <v>276</v>
      </c>
      <c r="B190" s="4">
        <f>2299.85/(1032.15+2299.85)*C145</f>
        <v>20.256017887717022</v>
      </c>
      <c r="C190" s="4">
        <v>0</v>
      </c>
      <c r="D190" s="5">
        <v>0</v>
      </c>
      <c r="L190" s="4"/>
      <c r="M190" s="4"/>
      <c r="N190" s="4"/>
    </row>
    <row r="191" spans="1:14" ht="13" x14ac:dyDescent="0.15">
      <c r="A191" s="5" t="s">
        <v>174</v>
      </c>
      <c r="B191" s="5">
        <f>C147</f>
        <v>12.967154889632226</v>
      </c>
      <c r="C191" s="4">
        <v>0</v>
      </c>
      <c r="D191" s="5">
        <v>0</v>
      </c>
      <c r="L191" s="4"/>
      <c r="M191" s="4"/>
      <c r="N191" s="4"/>
    </row>
    <row r="192" spans="1:14" ht="13" x14ac:dyDescent="0.15">
      <c r="A192" s="5" t="s">
        <v>303</v>
      </c>
      <c r="B192" s="5">
        <f>C149</f>
        <v>5.4598546903714631</v>
      </c>
      <c r="C192" s="4">
        <v>0</v>
      </c>
      <c r="D192" s="5">
        <v>0</v>
      </c>
      <c r="L192" s="4"/>
      <c r="M192" s="4"/>
      <c r="N192" s="4"/>
    </row>
    <row r="193" spans="1:14" ht="13" x14ac:dyDescent="0.15">
      <c r="A193" s="5" t="s">
        <v>304</v>
      </c>
      <c r="B193" s="5">
        <f t="shared" ref="B193" si="16">C150</f>
        <v>10.237227544446494</v>
      </c>
      <c r="C193" s="4">
        <v>0</v>
      </c>
      <c r="D193" s="5">
        <v>0</v>
      </c>
      <c r="L193" s="4"/>
      <c r="M193" s="4"/>
      <c r="N193" s="4"/>
    </row>
    <row r="194" spans="1:14" ht="13" x14ac:dyDescent="0.15">
      <c r="B194" s="25">
        <f>SUM(B152:B193)</f>
        <v>19419.485487030594</v>
      </c>
      <c r="C194" s="25">
        <f>SUM(C89:C150)</f>
        <v>19419.485487030594</v>
      </c>
      <c r="L194" s="4"/>
      <c r="M194" s="4"/>
      <c r="N194" s="4"/>
    </row>
    <row r="195" spans="1:14" ht="13" x14ac:dyDescent="0.15">
      <c r="L195" s="4"/>
      <c r="M195" s="4"/>
      <c r="N195" s="4"/>
    </row>
    <row r="196" spans="1:14" ht="13" x14ac:dyDescent="0.15">
      <c r="L196" s="4"/>
      <c r="M196" s="4"/>
      <c r="N196" s="4"/>
    </row>
    <row r="197" spans="1:14" ht="13" x14ac:dyDescent="0.15">
      <c r="L197" s="4"/>
      <c r="M197" s="4"/>
      <c r="N197" s="4"/>
    </row>
    <row r="198" spans="1:14" ht="13" x14ac:dyDescent="0.15">
      <c r="L198" s="4"/>
      <c r="M198" s="4"/>
      <c r="N198" s="4"/>
    </row>
    <row r="199" spans="1:14" ht="13" x14ac:dyDescent="0.15">
      <c r="L199" s="4"/>
      <c r="M199" s="4"/>
      <c r="N199" s="4"/>
    </row>
    <row r="200" spans="1:14" ht="13" x14ac:dyDescent="0.15">
      <c r="L200" s="4"/>
      <c r="M200" s="4"/>
      <c r="N200" s="4"/>
    </row>
    <row r="201" spans="1:14" ht="13" x14ac:dyDescent="0.15">
      <c r="L201" s="4"/>
      <c r="M201" s="4"/>
      <c r="N201" s="4"/>
    </row>
    <row r="202" spans="1:14" ht="13" x14ac:dyDescent="0.15">
      <c r="L202" s="4"/>
      <c r="M202" s="4"/>
      <c r="N202" s="4"/>
    </row>
    <row r="203" spans="1:14" ht="13" x14ac:dyDescent="0.15">
      <c r="L203" s="4"/>
      <c r="M203" s="4"/>
      <c r="N203" s="4"/>
    </row>
    <row r="204" spans="1:14" ht="13" x14ac:dyDescent="0.15">
      <c r="L204" s="4"/>
      <c r="M204" s="4"/>
      <c r="N204" s="4"/>
    </row>
    <row r="205" spans="1:14" ht="13" x14ac:dyDescent="0.15">
      <c r="L205" s="4"/>
      <c r="M205" s="4"/>
      <c r="N205" s="4"/>
    </row>
    <row r="206" spans="1:14" ht="13" x14ac:dyDescent="0.15">
      <c r="L206" s="4"/>
      <c r="M206" s="4"/>
      <c r="N206" s="4"/>
    </row>
    <row r="207" spans="1:14" ht="13" x14ac:dyDescent="0.15">
      <c r="L207" s="4"/>
      <c r="M207" s="4"/>
      <c r="N207" s="4"/>
    </row>
    <row r="208" spans="1:14" ht="13" x14ac:dyDescent="0.15">
      <c r="L208" s="4"/>
      <c r="M208" s="4"/>
      <c r="N208" s="4"/>
    </row>
    <row r="209" spans="12:14" ht="13" x14ac:dyDescent="0.15">
      <c r="L209" s="4"/>
      <c r="M209" s="4"/>
      <c r="N209" s="4"/>
    </row>
    <row r="210" spans="12:14" ht="13" x14ac:dyDescent="0.15">
      <c r="L210" s="4"/>
      <c r="M210" s="4"/>
      <c r="N210" s="4"/>
    </row>
    <row r="211" spans="12:14" ht="13" x14ac:dyDescent="0.15">
      <c r="L211" s="4"/>
      <c r="M211" s="4"/>
      <c r="N211" s="4"/>
    </row>
    <row r="212" spans="12:14" ht="13" x14ac:dyDescent="0.15">
      <c r="L212" s="4"/>
      <c r="M212" s="4"/>
      <c r="N212" s="4"/>
    </row>
    <row r="213" spans="12:14" ht="13" x14ac:dyDescent="0.15">
      <c r="L213" s="4"/>
      <c r="M213" s="4"/>
      <c r="N213" s="4"/>
    </row>
    <row r="214" spans="12:14" ht="13" x14ac:dyDescent="0.15">
      <c r="L214" s="4"/>
      <c r="M214" s="4"/>
      <c r="N214" s="4"/>
    </row>
    <row r="215" spans="12:14" ht="13" x14ac:dyDescent="0.15">
      <c r="L215" s="4"/>
      <c r="M215" s="4"/>
      <c r="N215" s="4"/>
    </row>
    <row r="216" spans="12:14" ht="13" x14ac:dyDescent="0.15">
      <c r="L216" s="4"/>
      <c r="M216" s="4"/>
      <c r="N216" s="4"/>
    </row>
    <row r="217" spans="12:14" ht="13" x14ac:dyDescent="0.15">
      <c r="L217" s="4"/>
      <c r="M217" s="4"/>
      <c r="N217" s="4"/>
    </row>
    <row r="218" spans="12:14" ht="13" x14ac:dyDescent="0.15">
      <c r="L218" s="4"/>
      <c r="M218" s="4"/>
      <c r="N218" s="4"/>
    </row>
    <row r="219" spans="12:14" ht="13" x14ac:dyDescent="0.15">
      <c r="L219" s="4"/>
      <c r="M219" s="4"/>
      <c r="N219" s="4"/>
    </row>
    <row r="220" spans="12:14" ht="13" x14ac:dyDescent="0.15">
      <c r="L220" s="4"/>
      <c r="M220" s="4"/>
      <c r="N220" s="4"/>
    </row>
    <row r="221" spans="12:14" ht="13" x14ac:dyDescent="0.15">
      <c r="L221" s="4"/>
      <c r="M221" s="4"/>
      <c r="N221" s="4"/>
    </row>
    <row r="222" spans="12:14" ht="13" x14ac:dyDescent="0.15">
      <c r="L222" s="4"/>
      <c r="M222" s="4"/>
      <c r="N222" s="4"/>
    </row>
    <row r="223" spans="12:14" ht="13" x14ac:dyDescent="0.15">
      <c r="L223" s="4"/>
      <c r="M223" s="4"/>
      <c r="N223" s="4"/>
    </row>
    <row r="224" spans="12:14" ht="13" x14ac:dyDescent="0.15">
      <c r="L224" s="4"/>
      <c r="M224" s="4"/>
      <c r="N224" s="4"/>
    </row>
    <row r="225" spans="12:14" ht="13" x14ac:dyDescent="0.15">
      <c r="L225" s="4"/>
      <c r="M225" s="4"/>
      <c r="N225" s="4"/>
    </row>
    <row r="226" spans="12:14" ht="13" x14ac:dyDescent="0.15">
      <c r="L226" s="4"/>
      <c r="M226" s="4"/>
      <c r="N226" s="4"/>
    </row>
    <row r="227" spans="12:14" ht="13" x14ac:dyDescent="0.15">
      <c r="L227" s="4"/>
      <c r="M227" s="4"/>
      <c r="N227" s="4"/>
    </row>
    <row r="228" spans="12:14" ht="13" x14ac:dyDescent="0.15">
      <c r="L228" s="4"/>
      <c r="M228" s="4"/>
      <c r="N228" s="4"/>
    </row>
    <row r="229" spans="12:14" ht="13" x14ac:dyDescent="0.15">
      <c r="L229" s="4"/>
      <c r="M229" s="4"/>
      <c r="N229" s="4"/>
    </row>
    <row r="230" spans="12:14" ht="13" x14ac:dyDescent="0.15">
      <c r="L230" s="4"/>
      <c r="M230" s="4"/>
      <c r="N230" s="4"/>
    </row>
    <row r="231" spans="12:14" ht="13" x14ac:dyDescent="0.15">
      <c r="L231" s="4"/>
      <c r="M231" s="4"/>
      <c r="N231" s="4"/>
    </row>
    <row r="232" spans="12:14" ht="13" x14ac:dyDescent="0.15">
      <c r="L232" s="4"/>
      <c r="M232" s="4"/>
      <c r="N232" s="4"/>
    </row>
    <row r="233" spans="12:14" ht="13" x14ac:dyDescent="0.15">
      <c r="L233" s="4"/>
      <c r="M233" s="4"/>
      <c r="N233" s="4"/>
    </row>
    <row r="234" spans="12:14" ht="13" x14ac:dyDescent="0.15">
      <c r="L234" s="4"/>
      <c r="M234" s="4"/>
      <c r="N234" s="4"/>
    </row>
    <row r="235" spans="12:14" ht="13" x14ac:dyDescent="0.15">
      <c r="L235" s="4"/>
      <c r="M235" s="4"/>
      <c r="N235" s="4"/>
    </row>
    <row r="236" spans="12:14" ht="13" x14ac:dyDescent="0.15">
      <c r="L236" s="4"/>
      <c r="M236" s="4"/>
      <c r="N236" s="4"/>
    </row>
    <row r="237" spans="12:14" ht="13" x14ac:dyDescent="0.15">
      <c r="L237" s="4"/>
      <c r="M237" s="4"/>
      <c r="N237" s="4"/>
    </row>
    <row r="238" spans="12:14" ht="13" x14ac:dyDescent="0.15">
      <c r="L238" s="4"/>
      <c r="M238" s="4"/>
      <c r="N238" s="4"/>
    </row>
    <row r="239" spans="12:14" ht="13" x14ac:dyDescent="0.15">
      <c r="L239" s="4"/>
      <c r="M239" s="4"/>
      <c r="N239" s="4"/>
    </row>
    <row r="240" spans="12:14" ht="13" x14ac:dyDescent="0.15">
      <c r="L240" s="4"/>
      <c r="M240" s="4"/>
      <c r="N240" s="4"/>
    </row>
    <row r="241" spans="12:14" ht="13" x14ac:dyDescent="0.15">
      <c r="L241" s="4"/>
      <c r="M241" s="4"/>
      <c r="N241" s="4"/>
    </row>
    <row r="242" spans="12:14" ht="13" x14ac:dyDescent="0.15">
      <c r="L242" s="4"/>
      <c r="M242" s="4"/>
      <c r="N242" s="4"/>
    </row>
    <row r="243" spans="12:14" ht="13" x14ac:dyDescent="0.15">
      <c r="L243" s="4"/>
      <c r="M243" s="4"/>
      <c r="N243" s="4"/>
    </row>
    <row r="244" spans="12:14" ht="13" x14ac:dyDescent="0.15">
      <c r="L244" s="4"/>
      <c r="M244" s="4"/>
      <c r="N244" s="4"/>
    </row>
    <row r="245" spans="12:14" ht="13" x14ac:dyDescent="0.15">
      <c r="L245" s="4"/>
      <c r="M245" s="4"/>
      <c r="N245" s="4"/>
    </row>
    <row r="246" spans="12:14" ht="13" x14ac:dyDescent="0.15">
      <c r="L246" s="4"/>
      <c r="M246" s="4"/>
      <c r="N246" s="4"/>
    </row>
    <row r="247" spans="12:14" ht="13" x14ac:dyDescent="0.15">
      <c r="L247" s="4"/>
      <c r="M247" s="4"/>
      <c r="N247" s="4"/>
    </row>
    <row r="248" spans="12:14" ht="13" x14ac:dyDescent="0.15">
      <c r="L248" s="4"/>
      <c r="M248" s="4"/>
      <c r="N248" s="4"/>
    </row>
    <row r="249" spans="12:14" ht="13" x14ac:dyDescent="0.15">
      <c r="L249" s="4"/>
      <c r="M249" s="4"/>
      <c r="N249" s="4"/>
    </row>
    <row r="250" spans="12:14" ht="13" x14ac:dyDescent="0.15">
      <c r="L250" s="4"/>
      <c r="M250" s="4"/>
      <c r="N250" s="4"/>
    </row>
    <row r="251" spans="12:14" ht="13" x14ac:dyDescent="0.15">
      <c r="L251" s="4"/>
      <c r="M251" s="4"/>
      <c r="N251" s="4"/>
    </row>
    <row r="252" spans="12:14" ht="13" x14ac:dyDescent="0.15">
      <c r="L252" s="4"/>
      <c r="M252" s="4"/>
      <c r="N252" s="4"/>
    </row>
    <row r="253" spans="12:14" ht="13" x14ac:dyDescent="0.15">
      <c r="L253" s="4"/>
      <c r="M253" s="4"/>
      <c r="N253" s="4"/>
    </row>
    <row r="254" spans="12:14" ht="13" x14ac:dyDescent="0.15">
      <c r="L254" s="4"/>
      <c r="M254" s="4"/>
      <c r="N254" s="4"/>
    </row>
    <row r="255" spans="12:14" ht="13" x14ac:dyDescent="0.15">
      <c r="L255" s="4"/>
      <c r="M255" s="4"/>
      <c r="N255" s="4"/>
    </row>
    <row r="256" spans="12:14" ht="13" x14ac:dyDescent="0.15">
      <c r="L256" s="4"/>
      <c r="M256" s="4"/>
      <c r="N256" s="4"/>
    </row>
    <row r="257" spans="12:14" ht="13" x14ac:dyDescent="0.15">
      <c r="L257" s="4"/>
      <c r="M257" s="4"/>
      <c r="N257" s="4"/>
    </row>
    <row r="258" spans="12:14" ht="13" x14ac:dyDescent="0.15">
      <c r="L258" s="4"/>
      <c r="M258" s="4"/>
      <c r="N258" s="4"/>
    </row>
    <row r="259" spans="12:14" ht="13" x14ac:dyDescent="0.15">
      <c r="L259" s="4"/>
      <c r="M259" s="4"/>
      <c r="N259" s="4"/>
    </row>
    <row r="260" spans="12:14" ht="13" x14ac:dyDescent="0.15">
      <c r="L260" s="4"/>
      <c r="M260" s="4"/>
      <c r="N260" s="4"/>
    </row>
    <row r="261" spans="12:14" ht="13" x14ac:dyDescent="0.15">
      <c r="L261" s="4"/>
      <c r="M261" s="4"/>
      <c r="N261" s="4"/>
    </row>
    <row r="262" spans="12:14" ht="13" x14ac:dyDescent="0.15">
      <c r="L262" s="4"/>
      <c r="M262" s="4"/>
      <c r="N262" s="4"/>
    </row>
    <row r="263" spans="12:14" ht="13" x14ac:dyDescent="0.15">
      <c r="L263" s="4"/>
      <c r="M263" s="4"/>
      <c r="N263" s="4"/>
    </row>
    <row r="264" spans="12:14" ht="13" x14ac:dyDescent="0.15">
      <c r="L264" s="4"/>
      <c r="M264" s="4"/>
      <c r="N264" s="4"/>
    </row>
    <row r="265" spans="12:14" ht="13" x14ac:dyDescent="0.15">
      <c r="L265" s="4"/>
      <c r="M265" s="4"/>
      <c r="N265" s="4"/>
    </row>
    <row r="266" spans="12:14" ht="13" x14ac:dyDescent="0.15">
      <c r="L266" s="4"/>
      <c r="M266" s="4"/>
      <c r="N266" s="4"/>
    </row>
    <row r="267" spans="12:14" ht="13" x14ac:dyDescent="0.15">
      <c r="L267" s="4"/>
      <c r="M267" s="4"/>
      <c r="N267" s="4"/>
    </row>
    <row r="268" spans="12:14" ht="13" x14ac:dyDescent="0.15">
      <c r="L268" s="4"/>
      <c r="M268" s="4"/>
      <c r="N268" s="4"/>
    </row>
    <row r="269" spans="12:14" ht="13" x14ac:dyDescent="0.15">
      <c r="L269" s="4"/>
      <c r="M269" s="4"/>
      <c r="N269" s="4"/>
    </row>
    <row r="270" spans="12:14" ht="13" x14ac:dyDescent="0.15">
      <c r="L270" s="4"/>
      <c r="M270" s="4"/>
      <c r="N270" s="4"/>
    </row>
    <row r="271" spans="12:14" ht="13" x14ac:dyDescent="0.15">
      <c r="L271" s="4"/>
      <c r="M271" s="4"/>
      <c r="N271" s="4"/>
    </row>
    <row r="272" spans="12:14" ht="13" x14ac:dyDescent="0.15">
      <c r="L272" s="4"/>
      <c r="M272" s="4"/>
      <c r="N272" s="4"/>
    </row>
    <row r="273" spans="12:14" ht="13" x14ac:dyDescent="0.15">
      <c r="L273" s="4"/>
      <c r="M273" s="4"/>
      <c r="N273" s="4"/>
    </row>
    <row r="274" spans="12:14" ht="13" x14ac:dyDescent="0.15">
      <c r="L274" s="4"/>
      <c r="M274" s="4"/>
      <c r="N274" s="4"/>
    </row>
    <row r="275" spans="12:14" ht="13" x14ac:dyDescent="0.15">
      <c r="L275" s="4"/>
      <c r="M275" s="4"/>
      <c r="N275" s="4"/>
    </row>
    <row r="276" spans="12:14" ht="13" x14ac:dyDescent="0.15">
      <c r="L276" s="4"/>
      <c r="M276" s="4"/>
      <c r="N276" s="4"/>
    </row>
    <row r="277" spans="12:14" ht="13" x14ac:dyDescent="0.15">
      <c r="L277" s="4"/>
      <c r="M277" s="4"/>
      <c r="N277" s="4"/>
    </row>
    <row r="278" spans="12:14" ht="13" x14ac:dyDescent="0.15">
      <c r="L278" s="4"/>
      <c r="M278" s="4"/>
      <c r="N278" s="4"/>
    </row>
    <row r="279" spans="12:14" ht="13" x14ac:dyDescent="0.15">
      <c r="L279" s="4"/>
      <c r="M279" s="4"/>
      <c r="N279" s="4"/>
    </row>
    <row r="280" spans="12:14" ht="13" x14ac:dyDescent="0.15">
      <c r="L280" s="4"/>
      <c r="M280" s="4"/>
      <c r="N280" s="4"/>
    </row>
    <row r="281" spans="12:14" ht="13" x14ac:dyDescent="0.15">
      <c r="L281" s="4"/>
      <c r="M281" s="4"/>
      <c r="N281" s="4"/>
    </row>
    <row r="282" spans="12:14" ht="13" x14ac:dyDescent="0.15">
      <c r="L282" s="4"/>
      <c r="M282" s="4"/>
      <c r="N282" s="4"/>
    </row>
    <row r="283" spans="12:14" ht="13" x14ac:dyDescent="0.15">
      <c r="L283" s="4"/>
      <c r="M283" s="4"/>
      <c r="N283" s="4"/>
    </row>
    <row r="284" spans="12:14" ht="13" x14ac:dyDescent="0.15">
      <c r="L284" s="4"/>
      <c r="M284" s="4"/>
      <c r="N284" s="4"/>
    </row>
    <row r="285" spans="12:14" ht="13" x14ac:dyDescent="0.15">
      <c r="L285" s="4"/>
      <c r="M285" s="4"/>
      <c r="N285" s="4"/>
    </row>
    <row r="286" spans="12:14" ht="13" x14ac:dyDescent="0.15">
      <c r="L286" s="4"/>
      <c r="M286" s="4"/>
      <c r="N286" s="4"/>
    </row>
    <row r="287" spans="12:14" ht="13" x14ac:dyDescent="0.15">
      <c r="L287" s="4"/>
      <c r="M287" s="4"/>
      <c r="N287" s="4"/>
    </row>
    <row r="288" spans="12:14" ht="13" x14ac:dyDescent="0.15">
      <c r="L288" s="4"/>
      <c r="M288" s="4"/>
      <c r="N288" s="4"/>
    </row>
    <row r="289" spans="12:14" ht="13" x14ac:dyDescent="0.15">
      <c r="L289" s="4"/>
      <c r="M289" s="4"/>
      <c r="N289" s="4"/>
    </row>
    <row r="290" spans="12:14" ht="13" x14ac:dyDescent="0.15">
      <c r="L290" s="4"/>
      <c r="M290" s="4"/>
      <c r="N290" s="4"/>
    </row>
    <row r="291" spans="12:14" ht="13" x14ac:dyDescent="0.15">
      <c r="L291" s="4"/>
      <c r="M291" s="4"/>
      <c r="N291" s="4"/>
    </row>
    <row r="292" spans="12:14" ht="13" x14ac:dyDescent="0.15">
      <c r="L292" s="4"/>
      <c r="M292" s="4"/>
      <c r="N292" s="4"/>
    </row>
    <row r="293" spans="12:14" ht="13" x14ac:dyDescent="0.15">
      <c r="L293" s="4"/>
      <c r="M293" s="4"/>
      <c r="N293" s="4"/>
    </row>
    <row r="294" spans="12:14" ht="13" x14ac:dyDescent="0.15">
      <c r="L294" s="4"/>
      <c r="M294" s="4"/>
      <c r="N294" s="4"/>
    </row>
    <row r="295" spans="12:14" ht="13" x14ac:dyDescent="0.15">
      <c r="L295" s="4"/>
      <c r="M295" s="4"/>
      <c r="N295" s="4"/>
    </row>
    <row r="296" spans="12:14" ht="13" x14ac:dyDescent="0.15">
      <c r="L296" s="4"/>
      <c r="M296" s="4"/>
      <c r="N296" s="4"/>
    </row>
    <row r="297" spans="12:14" ht="13" x14ac:dyDescent="0.15">
      <c r="L297" s="4"/>
      <c r="M297" s="4"/>
      <c r="N297" s="4"/>
    </row>
    <row r="298" spans="12:14" ht="13" x14ac:dyDescent="0.15">
      <c r="L298" s="4"/>
      <c r="M298" s="4"/>
      <c r="N298" s="4"/>
    </row>
    <row r="299" spans="12:14" ht="13" x14ac:dyDescent="0.15">
      <c r="L299" s="4"/>
      <c r="M299" s="4"/>
      <c r="N299" s="4"/>
    </row>
    <row r="300" spans="12:14" ht="13" x14ac:dyDescent="0.15">
      <c r="L300" s="4"/>
      <c r="M300" s="4"/>
      <c r="N300" s="4"/>
    </row>
    <row r="301" spans="12:14" ht="13" x14ac:dyDescent="0.15">
      <c r="L301" s="4"/>
      <c r="M301" s="4"/>
      <c r="N301" s="4"/>
    </row>
    <row r="302" spans="12:14" ht="13" x14ac:dyDescent="0.15">
      <c r="L302" s="4"/>
      <c r="M302" s="4"/>
      <c r="N302" s="4"/>
    </row>
    <row r="303" spans="12:14" ht="13" x14ac:dyDescent="0.15">
      <c r="L303" s="4"/>
      <c r="M303" s="4"/>
      <c r="N303" s="4"/>
    </row>
    <row r="304" spans="12:14" ht="13" x14ac:dyDescent="0.15">
      <c r="L304" s="4"/>
      <c r="M304" s="4"/>
      <c r="N304" s="4"/>
    </row>
    <row r="305" spans="12:14" ht="13" x14ac:dyDescent="0.15">
      <c r="L305" s="4"/>
      <c r="M305" s="4"/>
      <c r="N305" s="4"/>
    </row>
    <row r="306" spans="12:14" ht="13" x14ac:dyDescent="0.15">
      <c r="L306" s="4"/>
      <c r="M306" s="4"/>
      <c r="N306" s="4"/>
    </row>
    <row r="307" spans="12:14" ht="13" x14ac:dyDescent="0.15">
      <c r="L307" s="4"/>
      <c r="M307" s="4"/>
      <c r="N307" s="4"/>
    </row>
    <row r="308" spans="12:14" ht="13" x14ac:dyDescent="0.15">
      <c r="L308" s="4"/>
      <c r="M308" s="4"/>
      <c r="N308" s="4"/>
    </row>
    <row r="309" spans="12:14" ht="13" x14ac:dyDescent="0.15">
      <c r="L309" s="4"/>
      <c r="M309" s="4"/>
      <c r="N309" s="4"/>
    </row>
    <row r="310" spans="12:14" ht="13" x14ac:dyDescent="0.15">
      <c r="L310" s="4"/>
      <c r="M310" s="4"/>
      <c r="N310" s="4"/>
    </row>
    <row r="311" spans="12:14" ht="13" x14ac:dyDescent="0.15">
      <c r="L311" s="4"/>
      <c r="M311" s="4"/>
      <c r="N311" s="4"/>
    </row>
    <row r="312" spans="12:14" ht="13" x14ac:dyDescent="0.15">
      <c r="L312" s="4"/>
      <c r="M312" s="4"/>
      <c r="N312" s="4"/>
    </row>
    <row r="313" spans="12:14" ht="13" x14ac:dyDescent="0.15">
      <c r="L313" s="4"/>
      <c r="M313" s="4"/>
      <c r="N313" s="4"/>
    </row>
    <row r="314" spans="12:14" ht="13" x14ac:dyDescent="0.15">
      <c r="L314" s="4"/>
      <c r="M314" s="4"/>
      <c r="N314" s="4"/>
    </row>
    <row r="315" spans="12:14" ht="13" x14ac:dyDescent="0.15">
      <c r="L315" s="4"/>
      <c r="M315" s="4"/>
      <c r="N315" s="4"/>
    </row>
    <row r="316" spans="12:14" ht="13" x14ac:dyDescent="0.15">
      <c r="L316" s="4"/>
      <c r="M316" s="4"/>
      <c r="N316" s="4"/>
    </row>
    <row r="317" spans="12:14" ht="13" x14ac:dyDescent="0.15">
      <c r="L317" s="4"/>
      <c r="M317" s="4"/>
      <c r="N317" s="4"/>
    </row>
    <row r="318" spans="12:14" ht="13" x14ac:dyDescent="0.15">
      <c r="L318" s="4"/>
      <c r="M318" s="4"/>
      <c r="N318" s="4"/>
    </row>
    <row r="319" spans="12:14" ht="13" x14ac:dyDescent="0.15">
      <c r="L319" s="4"/>
      <c r="M319" s="4"/>
      <c r="N319" s="4"/>
    </row>
    <row r="320" spans="12:14" ht="13" x14ac:dyDescent="0.15">
      <c r="L320" s="4"/>
      <c r="M320" s="4"/>
      <c r="N320" s="4"/>
    </row>
    <row r="321" spans="12:14" ht="13" x14ac:dyDescent="0.15">
      <c r="L321" s="4"/>
      <c r="M321" s="4"/>
      <c r="N321" s="4"/>
    </row>
    <row r="322" spans="12:14" ht="13" x14ac:dyDescent="0.15">
      <c r="L322" s="4"/>
      <c r="M322" s="4"/>
      <c r="N322" s="4"/>
    </row>
    <row r="323" spans="12:14" ht="13" x14ac:dyDescent="0.15">
      <c r="L323" s="4"/>
      <c r="M323" s="4"/>
      <c r="N323" s="4"/>
    </row>
    <row r="324" spans="12:14" ht="13" x14ac:dyDescent="0.15">
      <c r="L324" s="4"/>
      <c r="M324" s="4"/>
      <c r="N324" s="4"/>
    </row>
    <row r="325" spans="12:14" ht="13" x14ac:dyDescent="0.15">
      <c r="L325" s="4"/>
      <c r="M325" s="4"/>
      <c r="N325" s="4"/>
    </row>
    <row r="326" spans="12:14" ht="13" x14ac:dyDescent="0.15">
      <c r="L326" s="4"/>
      <c r="M326" s="4"/>
      <c r="N326" s="4"/>
    </row>
    <row r="327" spans="12:14" ht="13" x14ac:dyDescent="0.15">
      <c r="L327" s="4"/>
      <c r="M327" s="4"/>
      <c r="N327" s="4"/>
    </row>
    <row r="328" spans="12:14" ht="13" x14ac:dyDescent="0.15">
      <c r="L328" s="4"/>
      <c r="M328" s="4"/>
      <c r="N328" s="4"/>
    </row>
    <row r="329" spans="12:14" ht="13" x14ac:dyDescent="0.15">
      <c r="L329" s="4"/>
      <c r="M329" s="4"/>
      <c r="N329" s="4"/>
    </row>
    <row r="330" spans="12:14" ht="13" x14ac:dyDescent="0.15">
      <c r="L330" s="4"/>
      <c r="M330" s="4"/>
      <c r="N330" s="4"/>
    </row>
    <row r="331" spans="12:14" ht="13" x14ac:dyDescent="0.15">
      <c r="L331" s="4"/>
      <c r="M331" s="4"/>
      <c r="N331" s="4"/>
    </row>
    <row r="332" spans="12:14" ht="13" x14ac:dyDescent="0.15">
      <c r="L332" s="4"/>
      <c r="M332" s="4"/>
      <c r="N332" s="4"/>
    </row>
    <row r="333" spans="12:14" ht="13" x14ac:dyDescent="0.15">
      <c r="L333" s="4"/>
      <c r="M333" s="4"/>
      <c r="N333" s="4"/>
    </row>
    <row r="334" spans="12:14" ht="13" x14ac:dyDescent="0.15">
      <c r="L334" s="4"/>
      <c r="M334" s="4"/>
      <c r="N334" s="4"/>
    </row>
    <row r="335" spans="12:14" ht="13" x14ac:dyDescent="0.15">
      <c r="L335" s="4"/>
      <c r="M335" s="4"/>
      <c r="N335" s="4"/>
    </row>
    <row r="336" spans="12:14" ht="13" x14ac:dyDescent="0.15">
      <c r="L336" s="4"/>
      <c r="M336" s="4"/>
      <c r="N336" s="4"/>
    </row>
    <row r="337" spans="12:14" ht="13" x14ac:dyDescent="0.15">
      <c r="L337" s="4"/>
      <c r="M337" s="4"/>
      <c r="N337" s="4"/>
    </row>
    <row r="338" spans="12:14" ht="13" x14ac:dyDescent="0.15">
      <c r="L338" s="4"/>
      <c r="M338" s="4"/>
      <c r="N338" s="4"/>
    </row>
    <row r="339" spans="12:14" ht="13" x14ac:dyDescent="0.15">
      <c r="L339" s="4"/>
      <c r="M339" s="4"/>
      <c r="N339" s="4"/>
    </row>
    <row r="340" spans="12:14" ht="13" x14ac:dyDescent="0.15">
      <c r="L340" s="4"/>
      <c r="M340" s="4"/>
      <c r="N340" s="4"/>
    </row>
    <row r="341" spans="12:14" ht="13" x14ac:dyDescent="0.15">
      <c r="L341" s="4"/>
      <c r="M341" s="4"/>
      <c r="N341" s="4"/>
    </row>
    <row r="342" spans="12:14" ht="13" x14ac:dyDescent="0.15">
      <c r="L342" s="4"/>
      <c r="M342" s="4"/>
      <c r="N342" s="4"/>
    </row>
    <row r="343" spans="12:14" ht="13" x14ac:dyDescent="0.15">
      <c r="L343" s="4"/>
      <c r="M343" s="4"/>
      <c r="N343" s="4"/>
    </row>
    <row r="344" spans="12:14" ht="13" x14ac:dyDescent="0.15">
      <c r="L344" s="4"/>
      <c r="M344" s="4"/>
      <c r="N344" s="4"/>
    </row>
    <row r="345" spans="12:14" ht="13" x14ac:dyDescent="0.15">
      <c r="L345" s="4"/>
      <c r="M345" s="4"/>
      <c r="N345" s="4"/>
    </row>
    <row r="346" spans="12:14" ht="13" x14ac:dyDescent="0.15">
      <c r="L346" s="4"/>
      <c r="M346" s="4"/>
      <c r="N346" s="4"/>
    </row>
    <row r="347" spans="12:14" ht="13" x14ac:dyDescent="0.15">
      <c r="L347" s="4"/>
      <c r="M347" s="4"/>
      <c r="N347" s="4"/>
    </row>
    <row r="348" spans="12:14" ht="13" x14ac:dyDescent="0.15">
      <c r="L348" s="4"/>
      <c r="M348" s="4"/>
      <c r="N348" s="4"/>
    </row>
    <row r="349" spans="12:14" ht="13" x14ac:dyDescent="0.15">
      <c r="L349" s="4"/>
      <c r="M349" s="4"/>
      <c r="N349" s="4"/>
    </row>
    <row r="350" spans="12:14" ht="13" x14ac:dyDescent="0.15">
      <c r="L350" s="4"/>
      <c r="M350" s="4"/>
      <c r="N350" s="4"/>
    </row>
    <row r="351" spans="12:14" ht="13" x14ac:dyDescent="0.15">
      <c r="L351" s="4"/>
      <c r="M351" s="4"/>
      <c r="N351" s="4"/>
    </row>
    <row r="352" spans="12:14" ht="13" x14ac:dyDescent="0.15">
      <c r="L352" s="4"/>
      <c r="M352" s="4"/>
      <c r="N352" s="4"/>
    </row>
    <row r="353" spans="12:14" ht="13" x14ac:dyDescent="0.15">
      <c r="L353" s="4"/>
      <c r="M353" s="4"/>
      <c r="N353" s="4"/>
    </row>
    <row r="354" spans="12:14" ht="13" x14ac:dyDescent="0.15">
      <c r="L354" s="4"/>
      <c r="M354" s="4"/>
      <c r="N354" s="4"/>
    </row>
    <row r="355" spans="12:14" ht="13" x14ac:dyDescent="0.15">
      <c r="L355" s="4"/>
      <c r="M355" s="4"/>
      <c r="N355" s="4"/>
    </row>
    <row r="356" spans="12:14" ht="13" x14ac:dyDescent="0.15">
      <c r="L356" s="4"/>
      <c r="M356" s="4"/>
      <c r="N356" s="4"/>
    </row>
    <row r="357" spans="12:14" ht="13" x14ac:dyDescent="0.15">
      <c r="L357" s="4"/>
      <c r="M357" s="4"/>
      <c r="N357" s="4"/>
    </row>
    <row r="358" spans="12:14" ht="13" x14ac:dyDescent="0.15">
      <c r="L358" s="4"/>
      <c r="M358" s="4"/>
      <c r="N358" s="4"/>
    </row>
    <row r="359" spans="12:14" ht="13" x14ac:dyDescent="0.15">
      <c r="L359" s="4"/>
      <c r="M359" s="4"/>
      <c r="N359" s="4"/>
    </row>
    <row r="360" spans="12:14" ht="13" x14ac:dyDescent="0.15">
      <c r="L360" s="4"/>
      <c r="M360" s="4"/>
      <c r="N360" s="4"/>
    </row>
    <row r="361" spans="12:14" ht="13" x14ac:dyDescent="0.15">
      <c r="L361" s="4"/>
      <c r="M361" s="4"/>
      <c r="N361" s="4"/>
    </row>
    <row r="362" spans="12:14" ht="13" x14ac:dyDescent="0.15">
      <c r="L362" s="4"/>
      <c r="M362" s="4"/>
      <c r="N362" s="4"/>
    </row>
    <row r="363" spans="12:14" ht="13" x14ac:dyDescent="0.15">
      <c r="L363" s="4"/>
      <c r="M363" s="4"/>
      <c r="N363" s="4"/>
    </row>
    <row r="364" spans="12:14" ht="13" x14ac:dyDescent="0.15">
      <c r="L364" s="4"/>
      <c r="M364" s="4"/>
      <c r="N364" s="4"/>
    </row>
    <row r="365" spans="12:14" ht="13" x14ac:dyDescent="0.15">
      <c r="L365" s="4"/>
      <c r="M365" s="4"/>
      <c r="N365" s="4"/>
    </row>
    <row r="366" spans="12:14" ht="13" x14ac:dyDescent="0.15">
      <c r="L366" s="4"/>
      <c r="M366" s="4"/>
      <c r="N366" s="4"/>
    </row>
    <row r="367" spans="12:14" ht="13" x14ac:dyDescent="0.15">
      <c r="L367" s="4"/>
      <c r="M367" s="4"/>
      <c r="N367" s="4"/>
    </row>
    <row r="368" spans="12:14" ht="13" x14ac:dyDescent="0.15">
      <c r="L368" s="4"/>
      <c r="M368" s="4"/>
      <c r="N368" s="4"/>
    </row>
    <row r="369" spans="12:14" ht="13" x14ac:dyDescent="0.15">
      <c r="L369" s="4"/>
      <c r="M369" s="4"/>
      <c r="N369" s="4"/>
    </row>
    <row r="370" spans="12:14" ht="13" x14ac:dyDescent="0.15">
      <c r="L370" s="4"/>
      <c r="M370" s="4"/>
      <c r="N370" s="4"/>
    </row>
    <row r="371" spans="12:14" ht="13" x14ac:dyDescent="0.15">
      <c r="L371" s="4"/>
      <c r="M371" s="4"/>
      <c r="N371" s="4"/>
    </row>
    <row r="372" spans="12:14" ht="13" x14ac:dyDescent="0.15">
      <c r="L372" s="4"/>
      <c r="M372" s="4"/>
      <c r="N372" s="4"/>
    </row>
    <row r="373" spans="12:14" ht="13" x14ac:dyDescent="0.15">
      <c r="L373" s="4"/>
      <c r="M373" s="4"/>
      <c r="N373" s="4"/>
    </row>
    <row r="374" spans="12:14" ht="13" x14ac:dyDescent="0.15">
      <c r="L374" s="4"/>
      <c r="M374" s="4"/>
      <c r="N374" s="4"/>
    </row>
    <row r="375" spans="12:14" ht="13" x14ac:dyDescent="0.15">
      <c r="L375" s="4"/>
      <c r="M375" s="4"/>
      <c r="N375" s="4"/>
    </row>
    <row r="376" spans="12:14" ht="13" x14ac:dyDescent="0.15">
      <c r="L376" s="4"/>
      <c r="M376" s="4"/>
      <c r="N376" s="4"/>
    </row>
    <row r="377" spans="12:14" ht="13" x14ac:dyDescent="0.15">
      <c r="L377" s="4"/>
      <c r="M377" s="4"/>
      <c r="N377" s="4"/>
    </row>
    <row r="378" spans="12:14" ht="13" x14ac:dyDescent="0.15">
      <c r="L378" s="4"/>
      <c r="M378" s="4"/>
      <c r="N378" s="4"/>
    </row>
    <row r="379" spans="12:14" ht="13" x14ac:dyDescent="0.15">
      <c r="L379" s="4"/>
      <c r="M379" s="4"/>
      <c r="N379" s="4"/>
    </row>
    <row r="380" spans="12:14" ht="13" x14ac:dyDescent="0.15">
      <c r="L380" s="4"/>
      <c r="M380" s="4"/>
      <c r="N380" s="4"/>
    </row>
    <row r="381" spans="12:14" ht="13" x14ac:dyDescent="0.15">
      <c r="L381" s="4"/>
      <c r="M381" s="4"/>
      <c r="N381" s="4"/>
    </row>
    <row r="382" spans="12:14" ht="13" x14ac:dyDescent="0.15">
      <c r="L382" s="4"/>
      <c r="M382" s="4"/>
      <c r="N382" s="4"/>
    </row>
    <row r="383" spans="12:14" ht="13" x14ac:dyDescent="0.15">
      <c r="L383" s="4"/>
      <c r="M383" s="4"/>
      <c r="N383" s="4"/>
    </row>
    <row r="384" spans="12:14" ht="13" x14ac:dyDescent="0.15">
      <c r="L384" s="4"/>
      <c r="M384" s="4"/>
      <c r="N384" s="4"/>
    </row>
    <row r="385" spans="12:14" ht="13" x14ac:dyDescent="0.15">
      <c r="L385" s="4"/>
      <c r="M385" s="4"/>
      <c r="N385" s="4"/>
    </row>
    <row r="386" spans="12:14" ht="13" x14ac:dyDescent="0.15">
      <c r="L386" s="4"/>
      <c r="M386" s="4"/>
      <c r="N386" s="4"/>
    </row>
    <row r="387" spans="12:14" ht="13" x14ac:dyDescent="0.15">
      <c r="L387" s="4"/>
      <c r="M387" s="4"/>
      <c r="N387" s="4"/>
    </row>
    <row r="388" spans="12:14" ht="13" x14ac:dyDescent="0.15">
      <c r="L388" s="4"/>
      <c r="M388" s="4"/>
      <c r="N388" s="4"/>
    </row>
    <row r="389" spans="12:14" ht="13" x14ac:dyDescent="0.15">
      <c r="L389" s="4"/>
      <c r="M389" s="4"/>
      <c r="N389" s="4"/>
    </row>
    <row r="390" spans="12:14" ht="13" x14ac:dyDescent="0.15">
      <c r="L390" s="4"/>
      <c r="M390" s="4"/>
      <c r="N390" s="4"/>
    </row>
    <row r="391" spans="12:14" ht="13" x14ac:dyDescent="0.15">
      <c r="L391" s="4"/>
      <c r="M391" s="4"/>
      <c r="N391" s="4"/>
    </row>
    <row r="392" spans="12:14" ht="13" x14ac:dyDescent="0.15">
      <c r="L392" s="4"/>
      <c r="M392" s="4"/>
      <c r="N392" s="4"/>
    </row>
    <row r="393" spans="12:14" ht="13" x14ac:dyDescent="0.15">
      <c r="L393" s="4"/>
      <c r="M393" s="4"/>
      <c r="N393" s="4"/>
    </row>
    <row r="394" spans="12:14" ht="13" x14ac:dyDescent="0.15">
      <c r="L394" s="4"/>
      <c r="M394" s="4"/>
      <c r="N394" s="4"/>
    </row>
    <row r="395" spans="12:14" ht="13" x14ac:dyDescent="0.15">
      <c r="L395" s="4"/>
      <c r="M395" s="4"/>
      <c r="N395" s="4"/>
    </row>
    <row r="396" spans="12:14" ht="13" x14ac:dyDescent="0.15">
      <c r="L396" s="4"/>
      <c r="M396" s="4"/>
      <c r="N396" s="4"/>
    </row>
    <row r="397" spans="12:14" ht="13" x14ac:dyDescent="0.15">
      <c r="L397" s="4"/>
      <c r="M397" s="4"/>
      <c r="N397" s="4"/>
    </row>
    <row r="398" spans="12:14" ht="13" x14ac:dyDescent="0.15">
      <c r="L398" s="4"/>
      <c r="M398" s="4"/>
      <c r="N398" s="4"/>
    </row>
    <row r="399" spans="12:14" ht="13" x14ac:dyDescent="0.15">
      <c r="L399" s="4"/>
      <c r="M399" s="4"/>
      <c r="N399" s="4"/>
    </row>
    <row r="400" spans="12:14" ht="13" x14ac:dyDescent="0.15">
      <c r="L400" s="4"/>
      <c r="M400" s="4"/>
      <c r="N400" s="4"/>
    </row>
    <row r="401" spans="12:14" ht="13" x14ac:dyDescent="0.15">
      <c r="L401" s="4"/>
      <c r="M401" s="4"/>
      <c r="N401" s="4"/>
    </row>
    <row r="402" spans="12:14" ht="13" x14ac:dyDescent="0.15">
      <c r="L402" s="4"/>
      <c r="M402" s="4"/>
      <c r="N402" s="4"/>
    </row>
    <row r="403" spans="12:14" ht="13" x14ac:dyDescent="0.15">
      <c r="L403" s="4"/>
      <c r="M403" s="4"/>
      <c r="N403" s="4"/>
    </row>
    <row r="404" spans="12:14" ht="13" x14ac:dyDescent="0.15">
      <c r="L404" s="4"/>
      <c r="M404" s="4"/>
      <c r="N404" s="4"/>
    </row>
    <row r="405" spans="12:14" ht="13" x14ac:dyDescent="0.15">
      <c r="L405" s="4"/>
      <c r="M405" s="4"/>
      <c r="N405" s="4"/>
    </row>
    <row r="406" spans="12:14" ht="13" x14ac:dyDescent="0.15">
      <c r="L406" s="4"/>
      <c r="M406" s="4"/>
      <c r="N406" s="4"/>
    </row>
    <row r="407" spans="12:14" ht="13" x14ac:dyDescent="0.15">
      <c r="L407" s="4"/>
      <c r="M407" s="4"/>
      <c r="N407" s="4"/>
    </row>
    <row r="408" spans="12:14" ht="13" x14ac:dyDescent="0.15">
      <c r="L408" s="4"/>
      <c r="M408" s="4"/>
      <c r="N408" s="4"/>
    </row>
    <row r="409" spans="12:14" ht="13" x14ac:dyDescent="0.15">
      <c r="L409" s="4"/>
      <c r="M409" s="4"/>
      <c r="N409" s="4"/>
    </row>
    <row r="410" spans="12:14" ht="13" x14ac:dyDescent="0.15">
      <c r="L410" s="4"/>
      <c r="M410" s="4"/>
      <c r="N410" s="4"/>
    </row>
    <row r="411" spans="12:14" ht="13" x14ac:dyDescent="0.15">
      <c r="L411" s="4"/>
      <c r="M411" s="4"/>
      <c r="N411" s="4"/>
    </row>
    <row r="412" spans="12:14" ht="13" x14ac:dyDescent="0.15">
      <c r="L412" s="4"/>
      <c r="M412" s="4"/>
      <c r="N412" s="4"/>
    </row>
    <row r="413" spans="12:14" ht="13" x14ac:dyDescent="0.15">
      <c r="L413" s="4"/>
      <c r="M413" s="4"/>
      <c r="N413" s="4"/>
    </row>
    <row r="414" spans="12:14" ht="13" x14ac:dyDescent="0.15">
      <c r="L414" s="4"/>
      <c r="M414" s="4"/>
      <c r="N414" s="4"/>
    </row>
    <row r="415" spans="12:14" ht="13" x14ac:dyDescent="0.15">
      <c r="L415" s="4"/>
      <c r="M415" s="4"/>
      <c r="N415" s="4"/>
    </row>
    <row r="416" spans="12:14" ht="13" x14ac:dyDescent="0.15">
      <c r="L416" s="4"/>
      <c r="M416" s="4"/>
      <c r="N416" s="4"/>
    </row>
    <row r="417" spans="12:14" ht="13" x14ac:dyDescent="0.15">
      <c r="L417" s="4"/>
      <c r="M417" s="4"/>
      <c r="N417" s="4"/>
    </row>
    <row r="418" spans="12:14" ht="13" x14ac:dyDescent="0.15">
      <c r="L418" s="4"/>
      <c r="M418" s="4"/>
      <c r="N418" s="4"/>
    </row>
    <row r="419" spans="12:14" ht="13" x14ac:dyDescent="0.15">
      <c r="L419" s="4"/>
      <c r="M419" s="4"/>
      <c r="N419" s="4"/>
    </row>
    <row r="420" spans="12:14" ht="13" x14ac:dyDescent="0.15">
      <c r="L420" s="4"/>
      <c r="M420" s="4"/>
      <c r="N420" s="4"/>
    </row>
    <row r="421" spans="12:14" ht="13" x14ac:dyDescent="0.15">
      <c r="L421" s="4"/>
      <c r="M421" s="4"/>
      <c r="N421" s="4"/>
    </row>
    <row r="422" spans="12:14" ht="13" x14ac:dyDescent="0.15">
      <c r="L422" s="4"/>
      <c r="M422" s="4"/>
      <c r="N422" s="4"/>
    </row>
    <row r="423" spans="12:14" ht="13" x14ac:dyDescent="0.15">
      <c r="L423" s="4"/>
      <c r="M423" s="4"/>
      <c r="N423" s="4"/>
    </row>
    <row r="424" spans="12:14" ht="13" x14ac:dyDescent="0.15">
      <c r="L424" s="4"/>
      <c r="M424" s="4"/>
      <c r="N424" s="4"/>
    </row>
    <row r="425" spans="12:14" ht="13" x14ac:dyDescent="0.15">
      <c r="L425" s="4"/>
      <c r="M425" s="4"/>
      <c r="N425" s="4"/>
    </row>
    <row r="426" spans="12:14" ht="13" x14ac:dyDescent="0.15">
      <c r="L426" s="4"/>
      <c r="M426" s="4"/>
      <c r="N426" s="4"/>
    </row>
    <row r="427" spans="12:14" ht="13" x14ac:dyDescent="0.15">
      <c r="L427" s="4"/>
      <c r="M427" s="4"/>
      <c r="N427" s="4"/>
    </row>
    <row r="428" spans="12:14" ht="13" x14ac:dyDescent="0.15">
      <c r="L428" s="4"/>
      <c r="M428" s="4"/>
      <c r="N428" s="4"/>
    </row>
    <row r="429" spans="12:14" ht="13" x14ac:dyDescent="0.15">
      <c r="L429" s="4"/>
      <c r="M429" s="4"/>
      <c r="N429" s="4"/>
    </row>
    <row r="430" spans="12:14" ht="13" x14ac:dyDescent="0.15">
      <c r="L430" s="4"/>
      <c r="M430" s="4"/>
      <c r="N430" s="4"/>
    </row>
    <row r="431" spans="12:14" ht="13" x14ac:dyDescent="0.15">
      <c r="L431" s="4"/>
      <c r="M431" s="4"/>
      <c r="N431" s="4"/>
    </row>
    <row r="432" spans="12:14" ht="13" x14ac:dyDescent="0.15">
      <c r="L432" s="4"/>
      <c r="M432" s="4"/>
      <c r="N432" s="4"/>
    </row>
    <row r="433" spans="12:14" ht="13" x14ac:dyDescent="0.15">
      <c r="L433" s="4"/>
      <c r="M433" s="4"/>
      <c r="N433" s="4"/>
    </row>
    <row r="434" spans="12:14" ht="13" x14ac:dyDescent="0.15">
      <c r="L434" s="4"/>
      <c r="M434" s="4"/>
      <c r="N434" s="4"/>
    </row>
    <row r="435" spans="12:14" ht="13" x14ac:dyDescent="0.15">
      <c r="L435" s="4"/>
      <c r="M435" s="4"/>
      <c r="N435" s="4"/>
    </row>
    <row r="436" spans="12:14" ht="13" x14ac:dyDescent="0.15">
      <c r="L436" s="4"/>
      <c r="M436" s="4"/>
      <c r="N436" s="4"/>
    </row>
    <row r="437" spans="12:14" ht="13" x14ac:dyDescent="0.15">
      <c r="L437" s="4"/>
      <c r="M437" s="4"/>
      <c r="N437" s="4"/>
    </row>
    <row r="438" spans="12:14" ht="13" x14ac:dyDescent="0.15">
      <c r="L438" s="4"/>
      <c r="M438" s="4"/>
      <c r="N438" s="4"/>
    </row>
    <row r="439" spans="12:14" ht="13" x14ac:dyDescent="0.15">
      <c r="L439" s="4"/>
      <c r="M439" s="4"/>
      <c r="N439" s="4"/>
    </row>
    <row r="440" spans="12:14" ht="13" x14ac:dyDescent="0.15">
      <c r="L440" s="4"/>
      <c r="M440" s="4"/>
      <c r="N440" s="4"/>
    </row>
    <row r="441" spans="12:14" ht="13" x14ac:dyDescent="0.15">
      <c r="L441" s="4"/>
      <c r="M441" s="4"/>
      <c r="N441" s="4"/>
    </row>
    <row r="442" spans="12:14" ht="13" x14ac:dyDescent="0.15">
      <c r="L442" s="4"/>
      <c r="M442" s="4"/>
      <c r="N442" s="4"/>
    </row>
    <row r="443" spans="12:14" ht="13" x14ac:dyDescent="0.15">
      <c r="L443" s="4"/>
      <c r="M443" s="4"/>
      <c r="N443" s="4"/>
    </row>
    <row r="444" spans="12:14" ht="13" x14ac:dyDescent="0.15">
      <c r="L444" s="4"/>
      <c r="M444" s="4"/>
      <c r="N444" s="4"/>
    </row>
    <row r="445" spans="12:14" ht="13" x14ac:dyDescent="0.15">
      <c r="L445" s="4"/>
      <c r="M445" s="4"/>
      <c r="N445" s="4"/>
    </row>
    <row r="446" spans="12:14" ht="13" x14ac:dyDescent="0.15">
      <c r="L446" s="4"/>
      <c r="M446" s="4"/>
      <c r="N446" s="4"/>
    </row>
    <row r="447" spans="12:14" ht="13" x14ac:dyDescent="0.15">
      <c r="L447" s="4"/>
      <c r="M447" s="4"/>
      <c r="N447" s="4"/>
    </row>
    <row r="448" spans="12:14" ht="13" x14ac:dyDescent="0.15">
      <c r="L448" s="4"/>
      <c r="M448" s="4"/>
      <c r="N448" s="4"/>
    </row>
    <row r="449" spans="12:14" ht="13" x14ac:dyDescent="0.15">
      <c r="L449" s="4"/>
      <c r="M449" s="4"/>
      <c r="N449" s="4"/>
    </row>
    <row r="450" spans="12:14" ht="13" x14ac:dyDescent="0.15">
      <c r="L450" s="4"/>
      <c r="M450" s="4"/>
      <c r="N450" s="4"/>
    </row>
    <row r="451" spans="12:14" ht="13" x14ac:dyDescent="0.15">
      <c r="L451" s="4"/>
      <c r="M451" s="4"/>
      <c r="N451" s="4"/>
    </row>
    <row r="452" spans="12:14" ht="13" x14ac:dyDescent="0.15">
      <c r="L452" s="4"/>
      <c r="M452" s="4"/>
      <c r="N452" s="4"/>
    </row>
    <row r="453" spans="12:14" ht="13" x14ac:dyDescent="0.15">
      <c r="L453" s="4"/>
      <c r="M453" s="4"/>
      <c r="N453" s="4"/>
    </row>
    <row r="454" spans="12:14" ht="13" x14ac:dyDescent="0.15">
      <c r="L454" s="4"/>
      <c r="M454" s="4"/>
      <c r="N454" s="4"/>
    </row>
    <row r="455" spans="12:14" ht="13" x14ac:dyDescent="0.15">
      <c r="L455" s="4"/>
      <c r="M455" s="4"/>
      <c r="N455" s="4"/>
    </row>
    <row r="456" spans="12:14" ht="13" x14ac:dyDescent="0.15">
      <c r="L456" s="4"/>
      <c r="M456" s="4"/>
      <c r="N456" s="4"/>
    </row>
    <row r="457" spans="12:14" ht="13" x14ac:dyDescent="0.15">
      <c r="L457" s="4"/>
      <c r="M457" s="4"/>
      <c r="N457" s="4"/>
    </row>
    <row r="458" spans="12:14" ht="13" x14ac:dyDescent="0.15">
      <c r="L458" s="4"/>
      <c r="M458" s="4"/>
      <c r="N458" s="4"/>
    </row>
    <row r="459" spans="12:14" ht="13" x14ac:dyDescent="0.15">
      <c r="L459" s="4"/>
      <c r="M459" s="4"/>
      <c r="N459" s="4"/>
    </row>
    <row r="460" spans="12:14" ht="13" x14ac:dyDescent="0.15">
      <c r="L460" s="4"/>
      <c r="M460" s="4"/>
      <c r="N460" s="4"/>
    </row>
    <row r="461" spans="12:14" ht="13" x14ac:dyDescent="0.15">
      <c r="L461" s="4"/>
      <c r="M461" s="4"/>
      <c r="N461" s="4"/>
    </row>
    <row r="462" spans="12:14" ht="13" x14ac:dyDescent="0.15">
      <c r="L462" s="4"/>
      <c r="M462" s="4"/>
      <c r="N462" s="4"/>
    </row>
    <row r="463" spans="12:14" ht="13" x14ac:dyDescent="0.15">
      <c r="L463" s="4"/>
      <c r="M463" s="4"/>
      <c r="N463" s="4"/>
    </row>
    <row r="464" spans="12:14" ht="13" x14ac:dyDescent="0.15">
      <c r="L464" s="4"/>
      <c r="M464" s="4"/>
      <c r="N464" s="4"/>
    </row>
    <row r="465" spans="12:14" ht="13" x14ac:dyDescent="0.15">
      <c r="L465" s="4"/>
      <c r="M465" s="4"/>
      <c r="N465" s="4"/>
    </row>
    <row r="466" spans="12:14" ht="13" x14ac:dyDescent="0.15">
      <c r="L466" s="4"/>
      <c r="M466" s="4"/>
      <c r="N466" s="4"/>
    </row>
    <row r="467" spans="12:14" ht="13" x14ac:dyDescent="0.15">
      <c r="L467" s="4"/>
      <c r="M467" s="4"/>
      <c r="N467" s="4"/>
    </row>
    <row r="468" spans="12:14" ht="13" x14ac:dyDescent="0.15">
      <c r="L468" s="4"/>
      <c r="M468" s="4"/>
      <c r="N468" s="4"/>
    </row>
    <row r="469" spans="12:14" ht="13" x14ac:dyDescent="0.15">
      <c r="L469" s="4"/>
      <c r="M469" s="4"/>
      <c r="N469" s="4"/>
    </row>
    <row r="470" spans="12:14" ht="13" x14ac:dyDescent="0.15">
      <c r="L470" s="4"/>
      <c r="M470" s="4"/>
      <c r="N470" s="4"/>
    </row>
    <row r="471" spans="12:14" ht="13" x14ac:dyDescent="0.15">
      <c r="L471" s="4"/>
      <c r="M471" s="4"/>
      <c r="N471" s="4"/>
    </row>
    <row r="472" spans="12:14" ht="13" x14ac:dyDescent="0.15">
      <c r="L472" s="4"/>
      <c r="M472" s="4"/>
      <c r="N472" s="4"/>
    </row>
    <row r="473" spans="12:14" ht="13" x14ac:dyDescent="0.15">
      <c r="L473" s="4"/>
      <c r="M473" s="4"/>
      <c r="N473" s="4"/>
    </row>
    <row r="474" spans="12:14" ht="13" x14ac:dyDescent="0.15">
      <c r="L474" s="4"/>
      <c r="M474" s="4"/>
      <c r="N474" s="4"/>
    </row>
    <row r="475" spans="12:14" ht="13" x14ac:dyDescent="0.15">
      <c r="L475" s="4"/>
      <c r="M475" s="4"/>
      <c r="N475" s="4"/>
    </row>
    <row r="476" spans="12:14" ht="13" x14ac:dyDescent="0.15">
      <c r="L476" s="4"/>
      <c r="M476" s="4"/>
      <c r="N476" s="4"/>
    </row>
    <row r="477" spans="12:14" ht="13" x14ac:dyDescent="0.15">
      <c r="L477" s="4"/>
      <c r="M477" s="4"/>
      <c r="N477" s="4"/>
    </row>
    <row r="478" spans="12:14" ht="13" x14ac:dyDescent="0.15">
      <c r="L478" s="4"/>
      <c r="M478" s="4"/>
      <c r="N478" s="4"/>
    </row>
    <row r="479" spans="12:14" ht="13" x14ac:dyDescent="0.15">
      <c r="L479" s="4"/>
      <c r="M479" s="4"/>
      <c r="N479" s="4"/>
    </row>
    <row r="480" spans="12:14" ht="13" x14ac:dyDescent="0.15">
      <c r="L480" s="4"/>
      <c r="M480" s="4"/>
      <c r="N480" s="4"/>
    </row>
    <row r="481" spans="12:14" ht="13" x14ac:dyDescent="0.15">
      <c r="L481" s="4"/>
      <c r="M481" s="4"/>
      <c r="N481" s="4"/>
    </row>
    <row r="482" spans="12:14" ht="13" x14ac:dyDescent="0.15">
      <c r="L482" s="4"/>
      <c r="M482" s="4"/>
      <c r="N482" s="4"/>
    </row>
    <row r="483" spans="12:14" ht="13" x14ac:dyDescent="0.15">
      <c r="L483" s="4"/>
      <c r="M483" s="4"/>
      <c r="N483" s="4"/>
    </row>
    <row r="484" spans="12:14" ht="13" x14ac:dyDescent="0.15">
      <c r="L484" s="4"/>
      <c r="M484" s="4"/>
      <c r="N484" s="4"/>
    </row>
    <row r="485" spans="12:14" ht="13" x14ac:dyDescent="0.15">
      <c r="L485" s="4"/>
      <c r="M485" s="4"/>
      <c r="N485" s="4"/>
    </row>
    <row r="486" spans="12:14" ht="13" x14ac:dyDescent="0.15">
      <c r="L486" s="4"/>
      <c r="M486" s="4"/>
      <c r="N486" s="4"/>
    </row>
    <row r="487" spans="12:14" ht="13" x14ac:dyDescent="0.15">
      <c r="L487" s="4"/>
      <c r="M487" s="4"/>
      <c r="N487" s="4"/>
    </row>
    <row r="488" spans="12:14" ht="13" x14ac:dyDescent="0.15">
      <c r="L488" s="4"/>
      <c r="M488" s="4"/>
      <c r="N488" s="4"/>
    </row>
    <row r="489" spans="12:14" ht="13" x14ac:dyDescent="0.15">
      <c r="L489" s="4"/>
      <c r="M489" s="4"/>
      <c r="N489" s="4"/>
    </row>
    <row r="490" spans="12:14" ht="13" x14ac:dyDescent="0.15">
      <c r="L490" s="4"/>
      <c r="M490" s="4"/>
      <c r="N490" s="4"/>
    </row>
    <row r="491" spans="12:14" ht="13" x14ac:dyDescent="0.15">
      <c r="L491" s="4"/>
      <c r="M491" s="4"/>
      <c r="N491" s="4"/>
    </row>
    <row r="492" spans="12:14" ht="13" x14ac:dyDescent="0.15">
      <c r="L492" s="4"/>
      <c r="M492" s="4"/>
      <c r="N492" s="4"/>
    </row>
    <row r="493" spans="12:14" ht="13" x14ac:dyDescent="0.15">
      <c r="L493" s="4"/>
      <c r="M493" s="4"/>
      <c r="N493" s="4"/>
    </row>
    <row r="494" spans="12:14" ht="13" x14ac:dyDescent="0.15">
      <c r="L494" s="4"/>
      <c r="M494" s="4"/>
      <c r="N494" s="4"/>
    </row>
    <row r="495" spans="12:14" ht="13" x14ac:dyDescent="0.15">
      <c r="L495" s="4"/>
      <c r="M495" s="4"/>
      <c r="N495" s="4"/>
    </row>
    <row r="496" spans="12:14" ht="13" x14ac:dyDescent="0.15">
      <c r="L496" s="4"/>
      <c r="M496" s="4"/>
      <c r="N496" s="4"/>
    </row>
    <row r="497" spans="12:14" ht="13" x14ac:dyDescent="0.15">
      <c r="L497" s="4"/>
      <c r="M497" s="4"/>
      <c r="N497" s="4"/>
    </row>
    <row r="498" spans="12:14" ht="13" x14ac:dyDescent="0.15">
      <c r="L498" s="4"/>
      <c r="M498" s="4"/>
      <c r="N498" s="4"/>
    </row>
    <row r="499" spans="12:14" ht="13" x14ac:dyDescent="0.15">
      <c r="L499" s="4"/>
      <c r="M499" s="4"/>
      <c r="N499" s="4"/>
    </row>
    <row r="500" spans="12:14" ht="13" x14ac:dyDescent="0.15">
      <c r="L500" s="4"/>
      <c r="M500" s="4"/>
      <c r="N500" s="4"/>
    </row>
    <row r="501" spans="12:14" ht="13" x14ac:dyDescent="0.15">
      <c r="L501" s="4"/>
      <c r="M501" s="4"/>
      <c r="N501" s="4"/>
    </row>
    <row r="502" spans="12:14" ht="13" x14ac:dyDescent="0.15">
      <c r="L502" s="4"/>
      <c r="M502" s="4"/>
      <c r="N502" s="4"/>
    </row>
    <row r="503" spans="12:14" ht="13" x14ac:dyDescent="0.15">
      <c r="L503" s="4"/>
      <c r="M503" s="4"/>
      <c r="N503" s="4"/>
    </row>
    <row r="504" spans="12:14" ht="13" x14ac:dyDescent="0.15">
      <c r="L504" s="4"/>
      <c r="M504" s="4"/>
      <c r="N504" s="4"/>
    </row>
    <row r="505" spans="12:14" ht="13" x14ac:dyDescent="0.15">
      <c r="L505" s="4"/>
      <c r="M505" s="4"/>
      <c r="N505" s="4"/>
    </row>
    <row r="506" spans="12:14" ht="13" x14ac:dyDescent="0.15">
      <c r="L506" s="4"/>
      <c r="M506" s="4"/>
      <c r="N506" s="4"/>
    </row>
    <row r="507" spans="12:14" ht="13" x14ac:dyDescent="0.15">
      <c r="L507" s="4"/>
      <c r="M507" s="4"/>
      <c r="N507" s="4"/>
    </row>
    <row r="508" spans="12:14" ht="13" x14ac:dyDescent="0.15">
      <c r="L508" s="4"/>
      <c r="M508" s="4"/>
      <c r="N508" s="4"/>
    </row>
    <row r="509" spans="12:14" ht="13" x14ac:dyDescent="0.15">
      <c r="L509" s="4"/>
      <c r="M509" s="4"/>
      <c r="N509" s="4"/>
    </row>
    <row r="510" spans="12:14" ht="13" x14ac:dyDescent="0.15">
      <c r="L510" s="4"/>
      <c r="M510" s="4"/>
      <c r="N510" s="4"/>
    </row>
    <row r="511" spans="12:14" ht="13" x14ac:dyDescent="0.15">
      <c r="L511" s="4"/>
      <c r="M511" s="4"/>
      <c r="N511" s="4"/>
    </row>
    <row r="512" spans="12:14" ht="13" x14ac:dyDescent="0.15">
      <c r="L512" s="4"/>
      <c r="M512" s="4"/>
      <c r="N512" s="4"/>
    </row>
    <row r="513" spans="12:14" ht="13" x14ac:dyDescent="0.15">
      <c r="L513" s="4"/>
      <c r="M513" s="4"/>
      <c r="N513" s="4"/>
    </row>
    <row r="514" spans="12:14" ht="13" x14ac:dyDescent="0.15">
      <c r="L514" s="4"/>
      <c r="M514" s="4"/>
      <c r="N514" s="4"/>
    </row>
    <row r="515" spans="12:14" ht="13" x14ac:dyDescent="0.15">
      <c r="L515" s="4"/>
      <c r="M515" s="4"/>
      <c r="N515" s="4"/>
    </row>
    <row r="516" spans="12:14" ht="13" x14ac:dyDescent="0.15">
      <c r="L516" s="4"/>
      <c r="M516" s="4"/>
      <c r="N516" s="4"/>
    </row>
    <row r="517" spans="12:14" ht="13" x14ac:dyDescent="0.15">
      <c r="L517" s="4"/>
      <c r="M517" s="4"/>
      <c r="N517" s="4"/>
    </row>
    <row r="518" spans="12:14" ht="13" x14ac:dyDescent="0.15">
      <c r="L518" s="4"/>
      <c r="M518" s="4"/>
      <c r="N518" s="4"/>
    </row>
    <row r="519" spans="12:14" ht="13" x14ac:dyDescent="0.15">
      <c r="L519" s="4"/>
      <c r="M519" s="4"/>
      <c r="N519" s="4"/>
    </row>
    <row r="520" spans="12:14" ht="13" x14ac:dyDescent="0.15">
      <c r="L520" s="4"/>
      <c r="M520" s="4"/>
      <c r="N520" s="4"/>
    </row>
    <row r="521" spans="12:14" ht="13" x14ac:dyDescent="0.15">
      <c r="L521" s="4"/>
      <c r="M521" s="4"/>
      <c r="N521" s="4"/>
    </row>
    <row r="522" spans="12:14" ht="13" x14ac:dyDescent="0.15">
      <c r="L522" s="4"/>
      <c r="M522" s="4"/>
      <c r="N522" s="4"/>
    </row>
    <row r="523" spans="12:14" ht="13" x14ac:dyDescent="0.15">
      <c r="L523" s="4"/>
      <c r="M523" s="4"/>
      <c r="N523" s="4"/>
    </row>
    <row r="524" spans="12:14" ht="13" x14ac:dyDescent="0.15">
      <c r="L524" s="4"/>
      <c r="M524" s="4"/>
      <c r="N524" s="4"/>
    </row>
    <row r="525" spans="12:14" ht="13" x14ac:dyDescent="0.15">
      <c r="L525" s="4"/>
      <c r="M525" s="4"/>
      <c r="N525" s="4"/>
    </row>
    <row r="526" spans="12:14" ht="13" x14ac:dyDescent="0.15">
      <c r="L526" s="4"/>
      <c r="M526" s="4"/>
      <c r="N526" s="4"/>
    </row>
    <row r="527" spans="12:14" ht="13" x14ac:dyDescent="0.15">
      <c r="L527" s="4"/>
      <c r="M527" s="4"/>
      <c r="N527" s="4"/>
    </row>
    <row r="528" spans="12:14" ht="13" x14ac:dyDescent="0.15">
      <c r="L528" s="4"/>
      <c r="M528" s="4"/>
      <c r="N528" s="4"/>
    </row>
    <row r="529" spans="12:14" ht="13" x14ac:dyDescent="0.15">
      <c r="L529" s="4"/>
      <c r="M529" s="4"/>
      <c r="N529" s="4"/>
    </row>
    <row r="530" spans="12:14" ht="13" x14ac:dyDescent="0.15">
      <c r="L530" s="4"/>
      <c r="M530" s="4"/>
      <c r="N530" s="4"/>
    </row>
    <row r="531" spans="12:14" ht="13" x14ac:dyDescent="0.15">
      <c r="L531" s="4"/>
      <c r="M531" s="4"/>
      <c r="N531" s="4"/>
    </row>
    <row r="532" spans="12:14" ht="13" x14ac:dyDescent="0.15">
      <c r="L532" s="4"/>
      <c r="M532" s="4"/>
      <c r="N532" s="4"/>
    </row>
    <row r="533" spans="12:14" ht="13" x14ac:dyDescent="0.15">
      <c r="L533" s="4"/>
      <c r="M533" s="4"/>
      <c r="N533" s="4"/>
    </row>
    <row r="534" spans="12:14" ht="13" x14ac:dyDescent="0.15">
      <c r="L534" s="4"/>
      <c r="M534" s="4"/>
      <c r="N534" s="4"/>
    </row>
    <row r="535" spans="12:14" ht="13" x14ac:dyDescent="0.15">
      <c r="L535" s="4"/>
      <c r="M535" s="4"/>
      <c r="N535" s="4"/>
    </row>
    <row r="536" spans="12:14" ht="13" x14ac:dyDescent="0.15">
      <c r="L536" s="4"/>
      <c r="M536" s="4"/>
      <c r="N536" s="4"/>
    </row>
    <row r="537" spans="12:14" ht="13" x14ac:dyDescent="0.15">
      <c r="L537" s="4"/>
      <c r="M537" s="4"/>
      <c r="N537" s="4"/>
    </row>
    <row r="538" spans="12:14" ht="13" x14ac:dyDescent="0.15">
      <c r="L538" s="4"/>
      <c r="M538" s="4"/>
      <c r="N538" s="4"/>
    </row>
    <row r="539" spans="12:14" ht="13" x14ac:dyDescent="0.15">
      <c r="L539" s="4"/>
      <c r="M539" s="4"/>
      <c r="N539" s="4"/>
    </row>
    <row r="540" spans="12:14" ht="13" x14ac:dyDescent="0.15">
      <c r="L540" s="4"/>
      <c r="M540" s="4"/>
      <c r="N540" s="4"/>
    </row>
    <row r="541" spans="12:14" ht="13" x14ac:dyDescent="0.15">
      <c r="L541" s="4"/>
      <c r="M541" s="4"/>
      <c r="N541" s="4"/>
    </row>
    <row r="542" spans="12:14" ht="13" x14ac:dyDescent="0.15">
      <c r="L542" s="4"/>
      <c r="M542" s="4"/>
      <c r="N542" s="4"/>
    </row>
    <row r="543" spans="12:14" ht="13" x14ac:dyDescent="0.15">
      <c r="L543" s="4"/>
      <c r="M543" s="4"/>
      <c r="N543" s="4"/>
    </row>
    <row r="544" spans="12:14" ht="13" x14ac:dyDescent="0.15">
      <c r="L544" s="4"/>
      <c r="M544" s="4"/>
      <c r="N544" s="4"/>
    </row>
    <row r="545" spans="12:14" ht="13" x14ac:dyDescent="0.15">
      <c r="L545" s="4"/>
      <c r="M545" s="4"/>
      <c r="N545" s="4"/>
    </row>
    <row r="546" spans="12:14" ht="13" x14ac:dyDescent="0.15">
      <c r="L546" s="4"/>
      <c r="M546" s="4"/>
      <c r="N546" s="4"/>
    </row>
    <row r="547" spans="12:14" ht="13" x14ac:dyDescent="0.15">
      <c r="L547" s="4"/>
      <c r="M547" s="4"/>
      <c r="N547" s="4"/>
    </row>
    <row r="548" spans="12:14" ht="13" x14ac:dyDescent="0.15">
      <c r="L548" s="4"/>
      <c r="M548" s="4"/>
      <c r="N548" s="4"/>
    </row>
    <row r="549" spans="12:14" ht="13" x14ac:dyDescent="0.15">
      <c r="L549" s="4"/>
      <c r="M549" s="4"/>
      <c r="N549" s="4"/>
    </row>
    <row r="550" spans="12:14" ht="13" x14ac:dyDescent="0.15">
      <c r="L550" s="4"/>
      <c r="M550" s="4"/>
      <c r="N550" s="4"/>
    </row>
    <row r="551" spans="12:14" ht="13" x14ac:dyDescent="0.15">
      <c r="L551" s="4"/>
      <c r="M551" s="4"/>
      <c r="N551" s="4"/>
    </row>
    <row r="552" spans="12:14" ht="13" x14ac:dyDescent="0.15">
      <c r="L552" s="4"/>
      <c r="M552" s="4"/>
      <c r="N552" s="4"/>
    </row>
    <row r="553" spans="12:14" ht="13" x14ac:dyDescent="0.15">
      <c r="L553" s="4"/>
      <c r="M553" s="4"/>
      <c r="N553" s="4"/>
    </row>
    <row r="554" spans="12:14" ht="13" x14ac:dyDescent="0.15">
      <c r="L554" s="4"/>
      <c r="M554" s="4"/>
      <c r="N554" s="4"/>
    </row>
    <row r="555" spans="12:14" ht="13" x14ac:dyDescent="0.15">
      <c r="L555" s="4"/>
      <c r="M555" s="4"/>
      <c r="N555" s="4"/>
    </row>
    <row r="556" spans="12:14" ht="13" x14ac:dyDescent="0.15">
      <c r="L556" s="4"/>
      <c r="M556" s="4"/>
      <c r="N556" s="4"/>
    </row>
    <row r="557" spans="12:14" ht="13" x14ac:dyDescent="0.15">
      <c r="L557" s="4"/>
      <c r="M557" s="4"/>
      <c r="N557" s="4"/>
    </row>
    <row r="558" spans="12:14" ht="13" x14ac:dyDescent="0.15">
      <c r="L558" s="4"/>
      <c r="M558" s="4"/>
      <c r="N558" s="4"/>
    </row>
    <row r="559" spans="12:14" ht="13" x14ac:dyDescent="0.15">
      <c r="L559" s="4"/>
      <c r="M559" s="4"/>
      <c r="N559" s="4"/>
    </row>
    <row r="560" spans="12:14" ht="13" x14ac:dyDescent="0.15">
      <c r="L560" s="4"/>
      <c r="M560" s="4"/>
      <c r="N560" s="4"/>
    </row>
    <row r="561" spans="12:14" ht="13" x14ac:dyDescent="0.15">
      <c r="L561" s="4"/>
      <c r="M561" s="4"/>
      <c r="N561" s="4"/>
    </row>
    <row r="562" spans="12:14" ht="13" x14ac:dyDescent="0.15">
      <c r="L562" s="4"/>
      <c r="M562" s="4"/>
      <c r="N562" s="4"/>
    </row>
    <row r="563" spans="12:14" ht="13" x14ac:dyDescent="0.15">
      <c r="L563" s="4"/>
      <c r="M563" s="4"/>
      <c r="N563" s="4"/>
    </row>
    <row r="564" spans="12:14" ht="13" x14ac:dyDescent="0.15">
      <c r="L564" s="4"/>
      <c r="M564" s="4"/>
      <c r="N564" s="4"/>
    </row>
    <row r="565" spans="12:14" ht="13" x14ac:dyDescent="0.15">
      <c r="L565" s="4"/>
      <c r="M565" s="4"/>
      <c r="N565" s="4"/>
    </row>
    <row r="566" spans="12:14" ht="13" x14ac:dyDescent="0.15">
      <c r="L566" s="4"/>
      <c r="M566" s="4"/>
      <c r="N566" s="4"/>
    </row>
    <row r="567" spans="12:14" ht="13" x14ac:dyDescent="0.15">
      <c r="L567" s="4"/>
      <c r="M567" s="4"/>
      <c r="N567" s="4"/>
    </row>
    <row r="568" spans="12:14" ht="13" x14ac:dyDescent="0.15">
      <c r="L568" s="4"/>
      <c r="M568" s="4"/>
      <c r="N568" s="4"/>
    </row>
    <row r="569" spans="12:14" ht="13" x14ac:dyDescent="0.15">
      <c r="L569" s="4"/>
      <c r="M569" s="4"/>
      <c r="N569" s="4"/>
    </row>
    <row r="570" spans="12:14" ht="13" x14ac:dyDescent="0.15">
      <c r="L570" s="4"/>
      <c r="M570" s="4"/>
      <c r="N570" s="4"/>
    </row>
    <row r="571" spans="12:14" ht="13" x14ac:dyDescent="0.15">
      <c r="L571" s="4"/>
      <c r="M571" s="4"/>
      <c r="N571" s="4"/>
    </row>
    <row r="572" spans="12:14" ht="13" x14ac:dyDescent="0.15">
      <c r="L572" s="4"/>
      <c r="M572" s="4"/>
      <c r="N572" s="4"/>
    </row>
    <row r="573" spans="12:14" ht="13" x14ac:dyDescent="0.15">
      <c r="L573" s="4"/>
      <c r="M573" s="4"/>
      <c r="N573" s="4"/>
    </row>
    <row r="574" spans="12:14" ht="13" x14ac:dyDescent="0.15">
      <c r="L574" s="4"/>
      <c r="M574" s="4"/>
      <c r="N574" s="4"/>
    </row>
    <row r="575" spans="12:14" ht="13" x14ac:dyDescent="0.15">
      <c r="L575" s="4"/>
      <c r="M575" s="4"/>
      <c r="N575" s="4"/>
    </row>
    <row r="576" spans="12:14" ht="13" x14ac:dyDescent="0.15">
      <c r="L576" s="4"/>
      <c r="M576" s="4"/>
      <c r="N576" s="4"/>
    </row>
    <row r="577" spans="12:14" ht="13" x14ac:dyDescent="0.15">
      <c r="L577" s="4"/>
      <c r="M577" s="4"/>
      <c r="N577" s="4"/>
    </row>
    <row r="578" spans="12:14" ht="13" x14ac:dyDescent="0.15">
      <c r="L578" s="4"/>
      <c r="M578" s="4"/>
      <c r="N578" s="4"/>
    </row>
    <row r="579" spans="12:14" ht="13" x14ac:dyDescent="0.15">
      <c r="L579" s="4"/>
      <c r="M579" s="4"/>
      <c r="N579" s="4"/>
    </row>
    <row r="580" spans="12:14" ht="13" x14ac:dyDescent="0.15">
      <c r="L580" s="4"/>
      <c r="M580" s="4"/>
      <c r="N580" s="4"/>
    </row>
    <row r="581" spans="12:14" ht="13" x14ac:dyDescent="0.15">
      <c r="L581" s="4"/>
      <c r="M581" s="4"/>
      <c r="N581" s="4"/>
    </row>
    <row r="582" spans="12:14" ht="13" x14ac:dyDescent="0.15">
      <c r="L582" s="4"/>
      <c r="M582" s="4"/>
      <c r="N582" s="4"/>
    </row>
    <row r="583" spans="12:14" ht="13" x14ac:dyDescent="0.15">
      <c r="L583" s="4"/>
      <c r="M583" s="4"/>
      <c r="N583" s="4"/>
    </row>
    <row r="584" spans="12:14" ht="13" x14ac:dyDescent="0.15">
      <c r="L584" s="4"/>
      <c r="M584" s="4"/>
      <c r="N584" s="4"/>
    </row>
    <row r="585" spans="12:14" ht="13" x14ac:dyDescent="0.15">
      <c r="L585" s="4"/>
      <c r="M585" s="4"/>
      <c r="N585" s="4"/>
    </row>
    <row r="586" spans="12:14" ht="13" x14ac:dyDescent="0.15">
      <c r="L586" s="4"/>
      <c r="M586" s="4"/>
      <c r="N586" s="4"/>
    </row>
    <row r="587" spans="12:14" ht="13" x14ac:dyDescent="0.15">
      <c r="L587" s="4"/>
      <c r="M587" s="4"/>
      <c r="N587" s="4"/>
    </row>
    <row r="588" spans="12:14" ht="13" x14ac:dyDescent="0.15">
      <c r="L588" s="4"/>
      <c r="M588" s="4"/>
      <c r="N588" s="4"/>
    </row>
    <row r="589" spans="12:14" ht="13" x14ac:dyDescent="0.15">
      <c r="L589" s="4"/>
      <c r="M589" s="4"/>
      <c r="N589" s="4"/>
    </row>
    <row r="590" spans="12:14" ht="13" x14ac:dyDescent="0.15">
      <c r="L590" s="4"/>
      <c r="M590" s="4"/>
      <c r="N590" s="4"/>
    </row>
    <row r="591" spans="12:14" ht="13" x14ac:dyDescent="0.15">
      <c r="L591" s="4"/>
      <c r="M591" s="4"/>
      <c r="N591" s="4"/>
    </row>
    <row r="592" spans="12:14" ht="13" x14ac:dyDescent="0.15">
      <c r="L592" s="4"/>
      <c r="M592" s="4"/>
      <c r="N592" s="4"/>
    </row>
    <row r="593" spans="12:14" ht="13" x14ac:dyDescent="0.15">
      <c r="L593" s="4"/>
      <c r="M593" s="4"/>
      <c r="N593" s="4"/>
    </row>
    <row r="594" spans="12:14" ht="13" x14ac:dyDescent="0.15">
      <c r="L594" s="4"/>
      <c r="M594" s="4"/>
      <c r="N594" s="4"/>
    </row>
    <row r="595" spans="12:14" ht="13" x14ac:dyDescent="0.15">
      <c r="L595" s="4"/>
      <c r="M595" s="4"/>
      <c r="N595" s="4"/>
    </row>
    <row r="596" spans="12:14" ht="13" x14ac:dyDescent="0.15">
      <c r="L596" s="4"/>
      <c r="M596" s="4"/>
      <c r="N596" s="4"/>
    </row>
    <row r="597" spans="12:14" ht="13" x14ac:dyDescent="0.15">
      <c r="L597" s="4"/>
      <c r="M597" s="4"/>
      <c r="N597" s="4"/>
    </row>
    <row r="598" spans="12:14" ht="13" x14ac:dyDescent="0.15">
      <c r="L598" s="4"/>
      <c r="M598" s="4"/>
      <c r="N598" s="4"/>
    </row>
    <row r="599" spans="12:14" ht="13" x14ac:dyDescent="0.15">
      <c r="L599" s="4"/>
      <c r="M599" s="4"/>
      <c r="N599" s="4"/>
    </row>
    <row r="600" spans="12:14" ht="13" x14ac:dyDescent="0.15">
      <c r="L600" s="4"/>
      <c r="M600" s="4"/>
      <c r="N600" s="4"/>
    </row>
    <row r="601" spans="12:14" ht="13" x14ac:dyDescent="0.15">
      <c r="L601" s="4"/>
      <c r="M601" s="4"/>
      <c r="N601" s="4"/>
    </row>
    <row r="602" spans="12:14" ht="13" x14ac:dyDescent="0.15">
      <c r="L602" s="4"/>
      <c r="M602" s="4"/>
      <c r="N602" s="4"/>
    </row>
    <row r="603" spans="12:14" ht="13" x14ac:dyDescent="0.15">
      <c r="L603" s="4"/>
      <c r="M603" s="4"/>
      <c r="N603" s="4"/>
    </row>
    <row r="604" spans="12:14" ht="13" x14ac:dyDescent="0.15">
      <c r="L604" s="4"/>
      <c r="M604" s="4"/>
      <c r="N604" s="4"/>
    </row>
    <row r="605" spans="12:14" ht="13" x14ac:dyDescent="0.15">
      <c r="L605" s="4"/>
      <c r="M605" s="4"/>
      <c r="N605" s="4"/>
    </row>
    <row r="606" spans="12:14" ht="13" x14ac:dyDescent="0.15">
      <c r="L606" s="4"/>
      <c r="M606" s="4"/>
      <c r="N606" s="4"/>
    </row>
    <row r="607" spans="12:14" ht="13" x14ac:dyDescent="0.15">
      <c r="L607" s="4"/>
      <c r="M607" s="4"/>
      <c r="N607" s="4"/>
    </row>
    <row r="608" spans="12:14" ht="13" x14ac:dyDescent="0.15">
      <c r="L608" s="4"/>
      <c r="M608" s="4"/>
      <c r="N608" s="4"/>
    </row>
    <row r="609" spans="12:14" ht="13" x14ac:dyDescent="0.15">
      <c r="L609" s="4"/>
      <c r="M609" s="4"/>
      <c r="N609" s="4"/>
    </row>
    <row r="610" spans="12:14" ht="13" x14ac:dyDescent="0.15">
      <c r="L610" s="4"/>
      <c r="M610" s="4"/>
      <c r="N610" s="4"/>
    </row>
    <row r="611" spans="12:14" ht="13" x14ac:dyDescent="0.15">
      <c r="L611" s="4"/>
      <c r="M611" s="4"/>
      <c r="N611" s="4"/>
    </row>
    <row r="612" spans="12:14" ht="13" x14ac:dyDescent="0.15">
      <c r="L612" s="4"/>
      <c r="M612" s="4"/>
      <c r="N612" s="4"/>
    </row>
    <row r="613" spans="12:14" ht="13" x14ac:dyDescent="0.15">
      <c r="L613" s="4"/>
      <c r="M613" s="4"/>
      <c r="N613" s="4"/>
    </row>
    <row r="614" spans="12:14" ht="13" x14ac:dyDescent="0.15">
      <c r="L614" s="4"/>
      <c r="M614" s="4"/>
      <c r="N614" s="4"/>
    </row>
    <row r="615" spans="12:14" ht="13" x14ac:dyDescent="0.15">
      <c r="L615" s="4"/>
      <c r="M615" s="4"/>
      <c r="N615" s="4"/>
    </row>
    <row r="616" spans="12:14" ht="13" x14ac:dyDescent="0.15">
      <c r="L616" s="4"/>
      <c r="M616" s="4"/>
      <c r="N616" s="4"/>
    </row>
    <row r="617" spans="12:14" ht="13" x14ac:dyDescent="0.15">
      <c r="L617" s="4"/>
      <c r="M617" s="4"/>
      <c r="N617" s="4"/>
    </row>
    <row r="618" spans="12:14" ht="13" x14ac:dyDescent="0.15">
      <c r="L618" s="4"/>
      <c r="M618" s="4"/>
      <c r="N618" s="4"/>
    </row>
    <row r="619" spans="12:14" ht="13" x14ac:dyDescent="0.15">
      <c r="L619" s="4"/>
      <c r="M619" s="4"/>
      <c r="N619" s="4"/>
    </row>
    <row r="620" spans="12:14" ht="13" x14ac:dyDescent="0.15">
      <c r="L620" s="4"/>
      <c r="M620" s="4"/>
      <c r="N620" s="4"/>
    </row>
    <row r="621" spans="12:14" ht="13" x14ac:dyDescent="0.15">
      <c r="L621" s="4"/>
      <c r="M621" s="4"/>
      <c r="N621" s="4"/>
    </row>
    <row r="622" spans="12:14" ht="13" x14ac:dyDescent="0.15">
      <c r="L622" s="4"/>
      <c r="M622" s="4"/>
      <c r="N622" s="4"/>
    </row>
    <row r="623" spans="12:14" ht="13" x14ac:dyDescent="0.15">
      <c r="L623" s="4"/>
      <c r="M623" s="4"/>
      <c r="N623" s="4"/>
    </row>
    <row r="624" spans="12:14" ht="13" x14ac:dyDescent="0.15">
      <c r="L624" s="4"/>
      <c r="M624" s="4"/>
      <c r="N624" s="4"/>
    </row>
    <row r="625" spans="12:14" ht="13" x14ac:dyDescent="0.15">
      <c r="L625" s="4"/>
      <c r="M625" s="4"/>
      <c r="N625" s="4"/>
    </row>
    <row r="626" spans="12:14" ht="13" x14ac:dyDescent="0.15">
      <c r="L626" s="4"/>
      <c r="M626" s="4"/>
      <c r="N626" s="4"/>
    </row>
    <row r="627" spans="12:14" ht="13" x14ac:dyDescent="0.15">
      <c r="L627" s="4"/>
      <c r="M627" s="4"/>
      <c r="N627" s="4"/>
    </row>
    <row r="628" spans="12:14" ht="13" x14ac:dyDescent="0.15">
      <c r="L628" s="4"/>
      <c r="M628" s="4"/>
      <c r="N628" s="4"/>
    </row>
    <row r="629" spans="12:14" ht="13" x14ac:dyDescent="0.15">
      <c r="L629" s="4"/>
      <c r="M629" s="4"/>
      <c r="N629" s="4"/>
    </row>
    <row r="630" spans="12:14" ht="13" x14ac:dyDescent="0.15">
      <c r="L630" s="4"/>
      <c r="M630" s="4"/>
      <c r="N630" s="4"/>
    </row>
    <row r="631" spans="12:14" ht="13" x14ac:dyDescent="0.15">
      <c r="L631" s="4"/>
      <c r="M631" s="4"/>
      <c r="N631" s="4"/>
    </row>
    <row r="632" spans="12:14" ht="13" x14ac:dyDescent="0.15">
      <c r="L632" s="4"/>
      <c r="M632" s="4"/>
      <c r="N632" s="4"/>
    </row>
    <row r="633" spans="12:14" ht="13" x14ac:dyDescent="0.15">
      <c r="L633" s="4"/>
      <c r="M633" s="4"/>
      <c r="N633" s="4"/>
    </row>
    <row r="634" spans="12:14" ht="13" x14ac:dyDescent="0.15">
      <c r="L634" s="4"/>
      <c r="M634" s="4"/>
      <c r="N634" s="4"/>
    </row>
    <row r="635" spans="12:14" ht="13" x14ac:dyDescent="0.15">
      <c r="L635" s="4"/>
      <c r="M635" s="4"/>
      <c r="N635" s="4"/>
    </row>
    <row r="636" spans="12:14" ht="13" x14ac:dyDescent="0.15">
      <c r="L636" s="4"/>
      <c r="M636" s="4"/>
      <c r="N636" s="4"/>
    </row>
    <row r="637" spans="12:14" ht="13" x14ac:dyDescent="0.15">
      <c r="L637" s="4"/>
      <c r="M637" s="4"/>
      <c r="N637" s="4"/>
    </row>
    <row r="638" spans="12:14" ht="13" x14ac:dyDescent="0.15">
      <c r="L638" s="4"/>
      <c r="M638" s="4"/>
      <c r="N638" s="4"/>
    </row>
    <row r="639" spans="12:14" ht="13" x14ac:dyDescent="0.15">
      <c r="L639" s="4"/>
      <c r="M639" s="4"/>
      <c r="N639" s="4"/>
    </row>
    <row r="640" spans="12:14" ht="13" x14ac:dyDescent="0.15">
      <c r="L640" s="4"/>
      <c r="M640" s="4"/>
      <c r="N640" s="4"/>
    </row>
    <row r="641" spans="12:14" ht="13" x14ac:dyDescent="0.15">
      <c r="L641" s="4"/>
      <c r="M641" s="4"/>
      <c r="N641" s="4"/>
    </row>
    <row r="642" spans="12:14" ht="13" x14ac:dyDescent="0.15">
      <c r="L642" s="4"/>
      <c r="M642" s="4"/>
      <c r="N642" s="4"/>
    </row>
    <row r="643" spans="12:14" ht="13" x14ac:dyDescent="0.15">
      <c r="L643" s="4"/>
      <c r="M643" s="4"/>
      <c r="N643" s="4"/>
    </row>
    <row r="644" spans="12:14" ht="13" x14ac:dyDescent="0.15">
      <c r="L644" s="4"/>
      <c r="M644" s="4"/>
      <c r="N644" s="4"/>
    </row>
    <row r="645" spans="12:14" ht="13" x14ac:dyDescent="0.15">
      <c r="L645" s="4"/>
      <c r="M645" s="4"/>
      <c r="N645" s="4"/>
    </row>
    <row r="646" spans="12:14" ht="13" x14ac:dyDescent="0.15">
      <c r="L646" s="4"/>
      <c r="M646" s="4"/>
      <c r="N646" s="4"/>
    </row>
    <row r="647" spans="12:14" ht="13" x14ac:dyDescent="0.15">
      <c r="L647" s="4"/>
      <c r="M647" s="4"/>
      <c r="N647" s="4"/>
    </row>
    <row r="648" spans="12:14" ht="13" x14ac:dyDescent="0.15">
      <c r="L648" s="4"/>
      <c r="M648" s="4"/>
      <c r="N648" s="4"/>
    </row>
    <row r="649" spans="12:14" ht="13" x14ac:dyDescent="0.15">
      <c r="L649" s="4"/>
      <c r="M649" s="4"/>
      <c r="N649" s="4"/>
    </row>
    <row r="650" spans="12:14" ht="13" x14ac:dyDescent="0.15">
      <c r="L650" s="4"/>
      <c r="M650" s="4"/>
      <c r="N650" s="4"/>
    </row>
    <row r="651" spans="12:14" ht="13" x14ac:dyDescent="0.15">
      <c r="L651" s="4"/>
      <c r="M651" s="4"/>
      <c r="N651" s="4"/>
    </row>
    <row r="652" spans="12:14" ht="13" x14ac:dyDescent="0.15">
      <c r="L652" s="4"/>
      <c r="M652" s="4"/>
      <c r="N652" s="4"/>
    </row>
    <row r="653" spans="12:14" ht="13" x14ac:dyDescent="0.15">
      <c r="L653" s="4"/>
      <c r="M653" s="4"/>
      <c r="N653" s="4"/>
    </row>
    <row r="654" spans="12:14" ht="13" x14ac:dyDescent="0.15">
      <c r="L654" s="4"/>
      <c r="M654" s="4"/>
      <c r="N654" s="4"/>
    </row>
    <row r="655" spans="12:14" ht="13" x14ac:dyDescent="0.15">
      <c r="L655" s="4"/>
      <c r="M655" s="4"/>
      <c r="N655" s="4"/>
    </row>
    <row r="656" spans="12:14" ht="13" x14ac:dyDescent="0.15">
      <c r="L656" s="4"/>
      <c r="M656" s="4"/>
      <c r="N656" s="4"/>
    </row>
    <row r="657" spans="12:14" ht="13" x14ac:dyDescent="0.15">
      <c r="L657" s="4"/>
      <c r="M657" s="4"/>
      <c r="N657" s="4"/>
    </row>
    <row r="658" spans="12:14" ht="13" x14ac:dyDescent="0.15">
      <c r="L658" s="4"/>
      <c r="M658" s="4"/>
      <c r="N658" s="4"/>
    </row>
    <row r="659" spans="12:14" ht="13" x14ac:dyDescent="0.15">
      <c r="L659" s="4"/>
      <c r="M659" s="4"/>
      <c r="N659" s="4"/>
    </row>
    <row r="660" spans="12:14" ht="13" x14ac:dyDescent="0.15">
      <c r="L660" s="4"/>
      <c r="M660" s="4"/>
      <c r="N660" s="4"/>
    </row>
    <row r="661" spans="12:14" ht="13" x14ac:dyDescent="0.15">
      <c r="L661" s="4"/>
      <c r="M661" s="4"/>
      <c r="N661" s="4"/>
    </row>
    <row r="662" spans="12:14" ht="13" x14ac:dyDescent="0.15">
      <c r="L662" s="4"/>
      <c r="M662" s="4"/>
      <c r="N662" s="4"/>
    </row>
    <row r="663" spans="12:14" ht="13" x14ac:dyDescent="0.15">
      <c r="L663" s="4"/>
      <c r="M663" s="4"/>
      <c r="N663" s="4"/>
    </row>
    <row r="664" spans="12:14" ht="13" x14ac:dyDescent="0.15">
      <c r="L664" s="4"/>
      <c r="M664" s="4"/>
      <c r="N664" s="4"/>
    </row>
    <row r="665" spans="12:14" ht="13" x14ac:dyDescent="0.15">
      <c r="L665" s="4"/>
      <c r="M665" s="4"/>
      <c r="N665" s="4"/>
    </row>
    <row r="666" spans="12:14" ht="13" x14ac:dyDescent="0.15">
      <c r="L666" s="4"/>
      <c r="M666" s="4"/>
      <c r="N666" s="4"/>
    </row>
    <row r="667" spans="12:14" ht="13" x14ac:dyDescent="0.15">
      <c r="L667" s="4"/>
      <c r="M667" s="4"/>
      <c r="N667" s="4"/>
    </row>
    <row r="668" spans="12:14" ht="13" x14ac:dyDescent="0.15">
      <c r="L668" s="4"/>
      <c r="M668" s="4"/>
      <c r="N668" s="4"/>
    </row>
    <row r="669" spans="12:14" ht="13" x14ac:dyDescent="0.15">
      <c r="L669" s="4"/>
      <c r="M669" s="4"/>
      <c r="N669" s="4"/>
    </row>
    <row r="670" spans="12:14" ht="13" x14ac:dyDescent="0.15">
      <c r="L670" s="4"/>
      <c r="M670" s="4"/>
      <c r="N670" s="4"/>
    </row>
    <row r="671" spans="12:14" ht="13" x14ac:dyDescent="0.15">
      <c r="L671" s="4"/>
      <c r="M671" s="4"/>
      <c r="N671" s="4"/>
    </row>
    <row r="672" spans="12:14" ht="13" x14ac:dyDescent="0.15">
      <c r="L672" s="4"/>
      <c r="M672" s="4"/>
      <c r="N672" s="4"/>
    </row>
    <row r="673" spans="12:14" ht="13" x14ac:dyDescent="0.15">
      <c r="L673" s="4"/>
      <c r="M673" s="4"/>
      <c r="N673" s="4"/>
    </row>
    <row r="674" spans="12:14" ht="13" x14ac:dyDescent="0.15">
      <c r="L674" s="4"/>
      <c r="M674" s="4"/>
      <c r="N674" s="4"/>
    </row>
    <row r="675" spans="12:14" ht="13" x14ac:dyDescent="0.15">
      <c r="L675" s="4"/>
      <c r="M675" s="4"/>
      <c r="N675" s="4"/>
    </row>
    <row r="676" spans="12:14" ht="13" x14ac:dyDescent="0.15">
      <c r="L676" s="4"/>
      <c r="M676" s="4"/>
      <c r="N676" s="4"/>
    </row>
    <row r="677" spans="12:14" ht="13" x14ac:dyDescent="0.15">
      <c r="L677" s="4"/>
      <c r="M677" s="4"/>
      <c r="N677" s="4"/>
    </row>
    <row r="678" spans="12:14" ht="13" x14ac:dyDescent="0.15">
      <c r="L678" s="4"/>
      <c r="M678" s="4"/>
      <c r="N678" s="4"/>
    </row>
    <row r="679" spans="12:14" ht="13" x14ac:dyDescent="0.15">
      <c r="L679" s="4"/>
      <c r="M679" s="4"/>
      <c r="N679" s="4"/>
    </row>
    <row r="680" spans="12:14" ht="13" x14ac:dyDescent="0.15">
      <c r="L680" s="4"/>
      <c r="M680" s="4"/>
      <c r="N680" s="4"/>
    </row>
    <row r="681" spans="12:14" ht="13" x14ac:dyDescent="0.15">
      <c r="L681" s="4"/>
      <c r="M681" s="4"/>
      <c r="N681" s="4"/>
    </row>
    <row r="682" spans="12:14" ht="13" x14ac:dyDescent="0.15">
      <c r="L682" s="4"/>
      <c r="M682" s="4"/>
      <c r="N682" s="4"/>
    </row>
    <row r="683" spans="12:14" ht="13" x14ac:dyDescent="0.15">
      <c r="L683" s="4"/>
      <c r="M683" s="4"/>
      <c r="N683" s="4"/>
    </row>
    <row r="684" spans="12:14" ht="13" x14ac:dyDescent="0.15">
      <c r="L684" s="4"/>
      <c r="M684" s="4"/>
      <c r="N684" s="4"/>
    </row>
    <row r="685" spans="12:14" ht="13" x14ac:dyDescent="0.15">
      <c r="L685" s="4"/>
      <c r="M685" s="4"/>
      <c r="N685" s="4"/>
    </row>
    <row r="686" spans="12:14" ht="13" x14ac:dyDescent="0.15">
      <c r="L686" s="4"/>
      <c r="M686" s="4"/>
      <c r="N686" s="4"/>
    </row>
    <row r="687" spans="12:14" ht="13" x14ac:dyDescent="0.15">
      <c r="L687" s="4"/>
      <c r="M687" s="4"/>
      <c r="N687" s="4"/>
    </row>
    <row r="688" spans="12:14" ht="13" x14ac:dyDescent="0.15">
      <c r="L688" s="4"/>
      <c r="M688" s="4"/>
      <c r="N688" s="4"/>
    </row>
    <row r="689" spans="12:14" ht="13" x14ac:dyDescent="0.15">
      <c r="L689" s="4"/>
      <c r="M689" s="4"/>
      <c r="N689" s="4"/>
    </row>
    <row r="690" spans="12:14" ht="13" x14ac:dyDescent="0.15">
      <c r="L690" s="4"/>
      <c r="M690" s="4"/>
      <c r="N690" s="4"/>
    </row>
    <row r="691" spans="12:14" ht="13" x14ac:dyDescent="0.15">
      <c r="L691" s="4"/>
      <c r="M691" s="4"/>
      <c r="N691" s="4"/>
    </row>
    <row r="692" spans="12:14" ht="13" x14ac:dyDescent="0.15">
      <c r="L692" s="4"/>
      <c r="M692" s="4"/>
      <c r="N692" s="4"/>
    </row>
    <row r="693" spans="12:14" ht="13" x14ac:dyDescent="0.15">
      <c r="L693" s="4"/>
      <c r="M693" s="4"/>
      <c r="N693" s="4"/>
    </row>
    <row r="694" spans="12:14" ht="13" x14ac:dyDescent="0.15">
      <c r="L694" s="4"/>
      <c r="M694" s="4"/>
      <c r="N694" s="4"/>
    </row>
    <row r="695" spans="12:14" ht="13" x14ac:dyDescent="0.15">
      <c r="L695" s="4"/>
      <c r="M695" s="4"/>
      <c r="N695" s="4"/>
    </row>
    <row r="696" spans="12:14" ht="13" x14ac:dyDescent="0.15">
      <c r="L696" s="4"/>
      <c r="M696" s="4"/>
      <c r="N696" s="4"/>
    </row>
    <row r="697" spans="12:14" ht="13" x14ac:dyDescent="0.15">
      <c r="L697" s="4"/>
      <c r="M697" s="4"/>
      <c r="N697" s="4"/>
    </row>
    <row r="698" spans="12:14" ht="13" x14ac:dyDescent="0.15">
      <c r="L698" s="4"/>
      <c r="M698" s="4"/>
      <c r="N698" s="4"/>
    </row>
    <row r="699" spans="12:14" ht="13" x14ac:dyDescent="0.15">
      <c r="L699" s="4"/>
      <c r="M699" s="4"/>
      <c r="N699" s="4"/>
    </row>
    <row r="700" spans="12:14" ht="13" x14ac:dyDescent="0.15">
      <c r="L700" s="4"/>
      <c r="M700" s="4"/>
      <c r="N700" s="4"/>
    </row>
    <row r="701" spans="12:14" ht="13" x14ac:dyDescent="0.15">
      <c r="L701" s="4"/>
      <c r="M701" s="4"/>
      <c r="N701" s="4"/>
    </row>
    <row r="702" spans="12:14" ht="13" x14ac:dyDescent="0.15">
      <c r="L702" s="4"/>
      <c r="M702" s="4"/>
      <c r="N702" s="4"/>
    </row>
    <row r="703" spans="12:14" ht="13" x14ac:dyDescent="0.15">
      <c r="L703" s="4"/>
      <c r="M703" s="4"/>
      <c r="N703" s="4"/>
    </row>
    <row r="704" spans="12:14" ht="13" x14ac:dyDescent="0.15">
      <c r="L704" s="4"/>
      <c r="M704" s="4"/>
      <c r="N704" s="4"/>
    </row>
    <row r="705" spans="12:14" ht="13" x14ac:dyDescent="0.15">
      <c r="L705" s="4"/>
      <c r="M705" s="4"/>
      <c r="N705" s="4"/>
    </row>
    <row r="706" spans="12:14" ht="13" x14ac:dyDescent="0.15">
      <c r="L706" s="4"/>
      <c r="M706" s="4"/>
      <c r="N706" s="4"/>
    </row>
    <row r="707" spans="12:14" ht="13" x14ac:dyDescent="0.15">
      <c r="L707" s="4"/>
      <c r="M707" s="4"/>
      <c r="N707" s="4"/>
    </row>
    <row r="708" spans="12:14" ht="13" x14ac:dyDescent="0.15">
      <c r="L708" s="4"/>
      <c r="M708" s="4"/>
      <c r="N708" s="4"/>
    </row>
    <row r="709" spans="12:14" ht="13" x14ac:dyDescent="0.15">
      <c r="L709" s="4"/>
      <c r="M709" s="4"/>
      <c r="N709" s="4"/>
    </row>
    <row r="710" spans="12:14" ht="13" x14ac:dyDescent="0.15">
      <c r="L710" s="4"/>
      <c r="M710" s="4"/>
      <c r="N710" s="4"/>
    </row>
    <row r="711" spans="12:14" ht="13" x14ac:dyDescent="0.15">
      <c r="L711" s="4"/>
      <c r="M711" s="4"/>
      <c r="N711" s="4"/>
    </row>
    <row r="712" spans="12:14" ht="13" x14ac:dyDescent="0.15">
      <c r="L712" s="4"/>
      <c r="M712" s="4"/>
      <c r="N712" s="4"/>
    </row>
    <row r="713" spans="12:14" ht="13" x14ac:dyDescent="0.15">
      <c r="L713" s="4"/>
      <c r="M713" s="4"/>
      <c r="N713" s="4"/>
    </row>
    <row r="714" spans="12:14" ht="13" x14ac:dyDescent="0.15">
      <c r="L714" s="4"/>
      <c r="M714" s="4"/>
      <c r="N714" s="4"/>
    </row>
    <row r="715" spans="12:14" ht="13" x14ac:dyDescent="0.15">
      <c r="L715" s="4"/>
      <c r="M715" s="4"/>
      <c r="N715" s="4"/>
    </row>
    <row r="716" spans="12:14" ht="13" x14ac:dyDescent="0.15">
      <c r="L716" s="4"/>
      <c r="M716" s="4"/>
      <c r="N716" s="4"/>
    </row>
    <row r="717" spans="12:14" ht="13" x14ac:dyDescent="0.15">
      <c r="L717" s="4"/>
      <c r="M717" s="4"/>
      <c r="N717" s="4"/>
    </row>
    <row r="718" spans="12:14" ht="13" x14ac:dyDescent="0.15">
      <c r="L718" s="4"/>
      <c r="M718" s="4"/>
      <c r="N718" s="4"/>
    </row>
    <row r="719" spans="12:14" ht="13" x14ac:dyDescent="0.15">
      <c r="L719" s="4"/>
      <c r="M719" s="4"/>
      <c r="N719" s="4"/>
    </row>
    <row r="720" spans="12:14" ht="13" x14ac:dyDescent="0.15">
      <c r="L720" s="4"/>
      <c r="M720" s="4"/>
      <c r="N720" s="4"/>
    </row>
    <row r="721" spans="12:14" ht="13" x14ac:dyDescent="0.15">
      <c r="L721" s="4"/>
      <c r="M721" s="4"/>
      <c r="N721" s="4"/>
    </row>
    <row r="722" spans="12:14" ht="13" x14ac:dyDescent="0.15">
      <c r="L722" s="4"/>
      <c r="M722" s="4"/>
      <c r="N722" s="4"/>
    </row>
    <row r="723" spans="12:14" ht="13" x14ac:dyDescent="0.15">
      <c r="L723" s="4"/>
      <c r="M723" s="4"/>
      <c r="N723" s="4"/>
    </row>
    <row r="724" spans="12:14" ht="13" x14ac:dyDescent="0.15">
      <c r="L724" s="4"/>
      <c r="M724" s="4"/>
      <c r="N724" s="4"/>
    </row>
    <row r="725" spans="12:14" ht="13" x14ac:dyDescent="0.15">
      <c r="L725" s="4"/>
      <c r="M725" s="4"/>
      <c r="N725" s="4"/>
    </row>
    <row r="726" spans="12:14" ht="13" x14ac:dyDescent="0.15">
      <c r="L726" s="4"/>
      <c r="M726" s="4"/>
      <c r="N726" s="4"/>
    </row>
    <row r="727" spans="12:14" ht="13" x14ac:dyDescent="0.15">
      <c r="L727" s="4"/>
      <c r="M727" s="4"/>
      <c r="N727" s="4"/>
    </row>
    <row r="728" spans="12:14" ht="13" x14ac:dyDescent="0.15">
      <c r="L728" s="4"/>
      <c r="M728" s="4"/>
      <c r="N728" s="4"/>
    </row>
    <row r="729" spans="12:14" ht="13" x14ac:dyDescent="0.15">
      <c r="L729" s="4"/>
      <c r="M729" s="4"/>
      <c r="N729" s="4"/>
    </row>
    <row r="730" spans="12:14" ht="13" x14ac:dyDescent="0.15">
      <c r="L730" s="4"/>
      <c r="M730" s="4"/>
      <c r="N730" s="4"/>
    </row>
    <row r="731" spans="12:14" ht="13" x14ac:dyDescent="0.15">
      <c r="L731" s="4"/>
      <c r="M731" s="4"/>
      <c r="N731" s="4"/>
    </row>
    <row r="732" spans="12:14" ht="13" x14ac:dyDescent="0.15">
      <c r="L732" s="4"/>
      <c r="M732" s="4"/>
      <c r="N732" s="4"/>
    </row>
    <row r="733" spans="12:14" ht="13" x14ac:dyDescent="0.15">
      <c r="L733" s="4"/>
      <c r="M733" s="4"/>
      <c r="N733" s="4"/>
    </row>
    <row r="734" spans="12:14" ht="13" x14ac:dyDescent="0.15">
      <c r="L734" s="4"/>
      <c r="M734" s="4"/>
      <c r="N734" s="4"/>
    </row>
    <row r="735" spans="12:14" ht="13" x14ac:dyDescent="0.15">
      <c r="L735" s="4"/>
      <c r="M735" s="4"/>
      <c r="N735" s="4"/>
    </row>
    <row r="736" spans="12:14" ht="13" x14ac:dyDescent="0.15">
      <c r="L736" s="4"/>
      <c r="M736" s="4"/>
      <c r="N736" s="4"/>
    </row>
    <row r="737" spans="12:14" ht="13" x14ac:dyDescent="0.15">
      <c r="L737" s="4"/>
      <c r="M737" s="4"/>
      <c r="N737" s="4"/>
    </row>
    <row r="738" spans="12:14" ht="13" x14ac:dyDescent="0.15">
      <c r="L738" s="4"/>
      <c r="M738" s="4"/>
      <c r="N738" s="4"/>
    </row>
    <row r="739" spans="12:14" ht="13" x14ac:dyDescent="0.15">
      <c r="L739" s="4"/>
      <c r="M739" s="4"/>
      <c r="N739" s="4"/>
    </row>
    <row r="740" spans="12:14" ht="13" x14ac:dyDescent="0.15">
      <c r="L740" s="4"/>
      <c r="M740" s="4"/>
      <c r="N740" s="4"/>
    </row>
    <row r="741" spans="12:14" ht="13" x14ac:dyDescent="0.15">
      <c r="L741" s="4"/>
      <c r="M741" s="4"/>
      <c r="N741" s="4"/>
    </row>
    <row r="742" spans="12:14" ht="13" x14ac:dyDescent="0.15">
      <c r="L742" s="4"/>
      <c r="M742" s="4"/>
      <c r="N742" s="4"/>
    </row>
    <row r="743" spans="12:14" ht="13" x14ac:dyDescent="0.15">
      <c r="L743" s="4"/>
      <c r="M743" s="4"/>
      <c r="N743" s="4"/>
    </row>
    <row r="744" spans="12:14" ht="13" x14ac:dyDescent="0.15">
      <c r="L744" s="4"/>
      <c r="M744" s="4"/>
      <c r="N744" s="4"/>
    </row>
    <row r="745" spans="12:14" ht="13" x14ac:dyDescent="0.15">
      <c r="L745" s="4"/>
      <c r="M745" s="4"/>
      <c r="N745" s="4"/>
    </row>
    <row r="746" spans="12:14" ht="13" x14ac:dyDescent="0.15">
      <c r="L746" s="4"/>
      <c r="M746" s="4"/>
      <c r="N746" s="4"/>
    </row>
    <row r="747" spans="12:14" ht="13" x14ac:dyDescent="0.15">
      <c r="L747" s="4"/>
      <c r="M747" s="4"/>
      <c r="N747" s="4"/>
    </row>
    <row r="748" spans="12:14" ht="13" x14ac:dyDescent="0.15">
      <c r="L748" s="4"/>
      <c r="M748" s="4"/>
      <c r="N748" s="4"/>
    </row>
    <row r="749" spans="12:14" ht="13" x14ac:dyDescent="0.15">
      <c r="L749" s="4"/>
      <c r="M749" s="4"/>
      <c r="N749" s="4"/>
    </row>
    <row r="750" spans="12:14" ht="13" x14ac:dyDescent="0.15">
      <c r="L750" s="4"/>
      <c r="M750" s="4"/>
      <c r="N750" s="4"/>
    </row>
    <row r="751" spans="12:14" ht="13" x14ac:dyDescent="0.15">
      <c r="L751" s="4"/>
      <c r="M751" s="4"/>
      <c r="N751" s="4"/>
    </row>
    <row r="752" spans="12:14" ht="13" x14ac:dyDescent="0.15">
      <c r="L752" s="4"/>
      <c r="M752" s="4"/>
      <c r="N752" s="4"/>
    </row>
    <row r="753" spans="12:14" ht="13" x14ac:dyDescent="0.15">
      <c r="L753" s="4"/>
      <c r="M753" s="4"/>
      <c r="N753" s="4"/>
    </row>
    <row r="754" spans="12:14" ht="13" x14ac:dyDescent="0.15">
      <c r="L754" s="4"/>
      <c r="M754" s="4"/>
      <c r="N754" s="4"/>
    </row>
    <row r="755" spans="12:14" ht="13" x14ac:dyDescent="0.15">
      <c r="L755" s="4"/>
      <c r="M755" s="4"/>
      <c r="N755" s="4"/>
    </row>
    <row r="756" spans="12:14" ht="13" x14ac:dyDescent="0.15">
      <c r="L756" s="4"/>
      <c r="M756" s="4"/>
      <c r="N756" s="4"/>
    </row>
    <row r="757" spans="12:14" ht="13" x14ac:dyDescent="0.15">
      <c r="L757" s="4"/>
      <c r="M757" s="4"/>
      <c r="N757" s="4"/>
    </row>
    <row r="758" spans="12:14" ht="13" x14ac:dyDescent="0.15">
      <c r="L758" s="4"/>
      <c r="M758" s="4"/>
      <c r="N758" s="4"/>
    </row>
    <row r="759" spans="12:14" ht="13" x14ac:dyDescent="0.15">
      <c r="L759" s="4"/>
      <c r="M759" s="4"/>
      <c r="N759" s="4"/>
    </row>
    <row r="760" spans="12:14" ht="13" x14ac:dyDescent="0.15">
      <c r="L760" s="4"/>
      <c r="M760" s="4"/>
      <c r="N760" s="4"/>
    </row>
    <row r="761" spans="12:14" ht="13" x14ac:dyDescent="0.15">
      <c r="L761" s="4"/>
      <c r="M761" s="4"/>
      <c r="N761" s="4"/>
    </row>
    <row r="762" spans="12:14" ht="13" x14ac:dyDescent="0.15">
      <c r="L762" s="4"/>
      <c r="M762" s="4"/>
      <c r="N762" s="4"/>
    </row>
    <row r="763" spans="12:14" ht="13" x14ac:dyDescent="0.15">
      <c r="L763" s="4"/>
      <c r="M763" s="4"/>
      <c r="N763" s="4"/>
    </row>
    <row r="764" spans="12:14" ht="13" x14ac:dyDescent="0.15">
      <c r="L764" s="4"/>
      <c r="M764" s="4"/>
      <c r="N764" s="4"/>
    </row>
    <row r="765" spans="12:14" ht="13" x14ac:dyDescent="0.15">
      <c r="L765" s="4"/>
      <c r="M765" s="4"/>
      <c r="N765" s="4"/>
    </row>
    <row r="766" spans="12:14" ht="13" x14ac:dyDescent="0.15">
      <c r="L766" s="4"/>
      <c r="M766" s="4"/>
      <c r="N766" s="4"/>
    </row>
    <row r="767" spans="12:14" ht="13" x14ac:dyDescent="0.15">
      <c r="L767" s="4"/>
      <c r="M767" s="4"/>
      <c r="N767" s="4"/>
    </row>
    <row r="768" spans="12:14" ht="13" x14ac:dyDescent="0.15">
      <c r="L768" s="4"/>
      <c r="M768" s="4"/>
      <c r="N768" s="4"/>
    </row>
    <row r="769" spans="12:14" ht="13" x14ac:dyDescent="0.15">
      <c r="L769" s="4"/>
      <c r="M769" s="4"/>
      <c r="N769" s="4"/>
    </row>
    <row r="770" spans="12:14" ht="13" x14ac:dyDescent="0.15">
      <c r="L770" s="4"/>
      <c r="M770" s="4"/>
      <c r="N770" s="4"/>
    </row>
    <row r="771" spans="12:14" ht="13" x14ac:dyDescent="0.15">
      <c r="L771" s="4"/>
      <c r="M771" s="4"/>
      <c r="N771" s="4"/>
    </row>
    <row r="772" spans="12:14" ht="13" x14ac:dyDescent="0.15">
      <c r="L772" s="4"/>
      <c r="M772" s="4"/>
      <c r="N772" s="4"/>
    </row>
    <row r="773" spans="12:14" ht="13" x14ac:dyDescent="0.15">
      <c r="L773" s="4"/>
      <c r="M773" s="4"/>
      <c r="N773" s="4"/>
    </row>
    <row r="774" spans="12:14" ht="13" x14ac:dyDescent="0.15">
      <c r="L774" s="4"/>
      <c r="M774" s="4"/>
      <c r="N774" s="4"/>
    </row>
    <row r="775" spans="12:14" ht="13" x14ac:dyDescent="0.15">
      <c r="L775" s="4"/>
      <c r="M775" s="4"/>
      <c r="N775" s="4"/>
    </row>
    <row r="776" spans="12:14" ht="13" x14ac:dyDescent="0.15">
      <c r="L776" s="4"/>
      <c r="M776" s="4"/>
      <c r="N776" s="4"/>
    </row>
    <row r="777" spans="12:14" ht="13" x14ac:dyDescent="0.15">
      <c r="L777" s="4"/>
      <c r="M777" s="4"/>
      <c r="N777" s="4"/>
    </row>
    <row r="778" spans="12:14" ht="13" x14ac:dyDescent="0.15">
      <c r="L778" s="4"/>
      <c r="M778" s="4"/>
      <c r="N778" s="4"/>
    </row>
    <row r="779" spans="12:14" ht="13" x14ac:dyDescent="0.15">
      <c r="L779" s="4"/>
      <c r="M779" s="4"/>
      <c r="N779" s="4"/>
    </row>
    <row r="780" spans="12:14" ht="13" x14ac:dyDescent="0.15">
      <c r="L780" s="4"/>
      <c r="M780" s="4"/>
      <c r="N780" s="4"/>
    </row>
    <row r="781" spans="12:14" ht="13" x14ac:dyDescent="0.15">
      <c r="L781" s="4"/>
      <c r="M781" s="4"/>
      <c r="N781" s="4"/>
    </row>
    <row r="782" spans="12:14" ht="13" x14ac:dyDescent="0.15">
      <c r="L782" s="4"/>
      <c r="M782" s="4"/>
      <c r="N782" s="4"/>
    </row>
    <row r="783" spans="12:14" ht="13" x14ac:dyDescent="0.15">
      <c r="L783" s="4"/>
      <c r="M783" s="4"/>
      <c r="N783" s="4"/>
    </row>
    <row r="784" spans="12:14" ht="13" x14ac:dyDescent="0.15">
      <c r="L784" s="4"/>
      <c r="M784" s="4"/>
      <c r="N784" s="4"/>
    </row>
    <row r="785" spans="12:14" ht="13" x14ac:dyDescent="0.15">
      <c r="L785" s="4"/>
      <c r="M785" s="4"/>
      <c r="N785" s="4"/>
    </row>
    <row r="786" spans="12:14" ht="13" x14ac:dyDescent="0.15">
      <c r="L786" s="4"/>
      <c r="M786" s="4"/>
      <c r="N786" s="4"/>
    </row>
    <row r="787" spans="12:14" ht="13" x14ac:dyDescent="0.15">
      <c r="L787" s="4"/>
      <c r="M787" s="4"/>
      <c r="N787" s="4"/>
    </row>
    <row r="788" spans="12:14" ht="13" x14ac:dyDescent="0.15">
      <c r="L788" s="4"/>
      <c r="M788" s="4"/>
      <c r="N788" s="4"/>
    </row>
    <row r="789" spans="12:14" ht="13" x14ac:dyDescent="0.15">
      <c r="L789" s="4"/>
      <c r="M789" s="4"/>
      <c r="N789" s="4"/>
    </row>
    <row r="790" spans="12:14" ht="13" x14ac:dyDescent="0.15">
      <c r="L790" s="4"/>
      <c r="M790" s="4"/>
      <c r="N790" s="4"/>
    </row>
    <row r="791" spans="12:14" ht="13" x14ac:dyDescent="0.15">
      <c r="L791" s="4"/>
      <c r="M791" s="4"/>
      <c r="N791" s="4"/>
    </row>
    <row r="792" spans="12:14" ht="13" x14ac:dyDescent="0.15">
      <c r="L792" s="4"/>
      <c r="M792" s="4"/>
      <c r="N792" s="4"/>
    </row>
    <row r="793" spans="12:14" ht="13" x14ac:dyDescent="0.15">
      <c r="L793" s="4"/>
      <c r="M793" s="4"/>
      <c r="N793" s="4"/>
    </row>
    <row r="794" spans="12:14" ht="13" x14ac:dyDescent="0.15">
      <c r="L794" s="4"/>
      <c r="M794" s="4"/>
      <c r="N794" s="4"/>
    </row>
    <row r="795" spans="12:14" ht="13" x14ac:dyDescent="0.15">
      <c r="L795" s="4"/>
      <c r="M795" s="4"/>
      <c r="N795" s="4"/>
    </row>
    <row r="796" spans="12:14" ht="13" x14ac:dyDescent="0.15">
      <c r="L796" s="4"/>
      <c r="M796" s="4"/>
      <c r="N796" s="4"/>
    </row>
    <row r="797" spans="12:14" ht="13" x14ac:dyDescent="0.15">
      <c r="L797" s="4"/>
      <c r="M797" s="4"/>
      <c r="N797" s="4"/>
    </row>
    <row r="798" spans="12:14" ht="13" x14ac:dyDescent="0.15">
      <c r="L798" s="4"/>
      <c r="M798" s="4"/>
      <c r="N798" s="4"/>
    </row>
    <row r="799" spans="12:14" ht="13" x14ac:dyDescent="0.15">
      <c r="L799" s="4"/>
      <c r="M799" s="4"/>
      <c r="N799" s="4"/>
    </row>
    <row r="800" spans="12:14" ht="13" x14ac:dyDescent="0.15">
      <c r="L800" s="4"/>
      <c r="M800" s="4"/>
      <c r="N800" s="4"/>
    </row>
    <row r="801" spans="12:14" ht="13" x14ac:dyDescent="0.15">
      <c r="L801" s="4"/>
      <c r="M801" s="4"/>
      <c r="N801" s="4"/>
    </row>
    <row r="802" spans="12:14" ht="13" x14ac:dyDescent="0.15">
      <c r="L802" s="4"/>
      <c r="M802" s="4"/>
      <c r="N802" s="4"/>
    </row>
    <row r="803" spans="12:14" ht="13" x14ac:dyDescent="0.15">
      <c r="L803" s="4"/>
      <c r="M803" s="4"/>
      <c r="N803" s="4"/>
    </row>
    <row r="804" spans="12:14" ht="13" x14ac:dyDescent="0.15">
      <c r="L804" s="4"/>
      <c r="M804" s="4"/>
      <c r="N804" s="4"/>
    </row>
    <row r="805" spans="12:14" ht="13" x14ac:dyDescent="0.15">
      <c r="L805" s="4"/>
      <c r="M805" s="4"/>
      <c r="N805" s="4"/>
    </row>
    <row r="806" spans="12:14" ht="13" x14ac:dyDescent="0.15">
      <c r="L806" s="4"/>
      <c r="M806" s="4"/>
      <c r="N806" s="4"/>
    </row>
    <row r="807" spans="12:14" ht="13" x14ac:dyDescent="0.15">
      <c r="L807" s="4"/>
      <c r="M807" s="4"/>
      <c r="N807" s="4"/>
    </row>
    <row r="808" spans="12:14" ht="13" x14ac:dyDescent="0.15">
      <c r="L808" s="4"/>
      <c r="M808" s="4"/>
      <c r="N808" s="4"/>
    </row>
    <row r="809" spans="12:14" ht="13" x14ac:dyDescent="0.15">
      <c r="L809" s="4"/>
      <c r="M809" s="4"/>
      <c r="N809" s="4"/>
    </row>
    <row r="810" spans="12:14" ht="13" x14ac:dyDescent="0.15">
      <c r="L810" s="4"/>
      <c r="M810" s="4"/>
      <c r="N810" s="4"/>
    </row>
    <row r="811" spans="12:14" ht="13" x14ac:dyDescent="0.15">
      <c r="L811" s="4"/>
      <c r="M811" s="4"/>
      <c r="N811" s="4"/>
    </row>
    <row r="812" spans="12:14" ht="13" x14ac:dyDescent="0.15">
      <c r="L812" s="4"/>
      <c r="M812" s="4"/>
      <c r="N812" s="4"/>
    </row>
    <row r="813" spans="12:14" ht="13" x14ac:dyDescent="0.15">
      <c r="L813" s="4"/>
      <c r="M813" s="4"/>
      <c r="N813" s="4"/>
    </row>
    <row r="814" spans="12:14" ht="13" x14ac:dyDescent="0.15">
      <c r="L814" s="4"/>
      <c r="M814" s="4"/>
      <c r="N814" s="4"/>
    </row>
    <row r="815" spans="12:14" ht="13" x14ac:dyDescent="0.15">
      <c r="L815" s="4"/>
      <c r="M815" s="4"/>
      <c r="N815" s="4"/>
    </row>
    <row r="816" spans="12:14" ht="13" x14ac:dyDescent="0.15">
      <c r="L816" s="4"/>
      <c r="M816" s="4"/>
      <c r="N816" s="4"/>
    </row>
    <row r="817" spans="12:14" ht="13" x14ac:dyDescent="0.15">
      <c r="L817" s="4"/>
      <c r="M817" s="4"/>
      <c r="N817" s="4"/>
    </row>
    <row r="818" spans="12:14" ht="13" x14ac:dyDescent="0.15">
      <c r="L818" s="4"/>
      <c r="M818" s="4"/>
      <c r="N818" s="4"/>
    </row>
    <row r="819" spans="12:14" ht="13" x14ac:dyDescent="0.15">
      <c r="L819" s="4"/>
      <c r="M819" s="4"/>
      <c r="N819" s="4"/>
    </row>
    <row r="820" spans="12:14" ht="13" x14ac:dyDescent="0.15">
      <c r="L820" s="4"/>
      <c r="M820" s="4"/>
      <c r="N820" s="4"/>
    </row>
    <row r="821" spans="12:14" ht="13" x14ac:dyDescent="0.15">
      <c r="L821" s="4"/>
      <c r="M821" s="4"/>
      <c r="N821" s="4"/>
    </row>
    <row r="822" spans="12:14" ht="13" x14ac:dyDescent="0.15">
      <c r="L822" s="4"/>
      <c r="M822" s="4"/>
      <c r="N822" s="4"/>
    </row>
    <row r="823" spans="12:14" ht="13" x14ac:dyDescent="0.15">
      <c r="L823" s="4"/>
      <c r="M823" s="4"/>
      <c r="N823" s="4"/>
    </row>
    <row r="824" spans="12:14" ht="13" x14ac:dyDescent="0.15">
      <c r="L824" s="4"/>
      <c r="M824" s="4"/>
      <c r="N824" s="4"/>
    </row>
    <row r="825" spans="12:14" ht="13" x14ac:dyDescent="0.15">
      <c r="L825" s="4"/>
      <c r="M825" s="4"/>
      <c r="N825" s="4"/>
    </row>
    <row r="826" spans="12:14" ht="13" x14ac:dyDescent="0.15">
      <c r="L826" s="4"/>
      <c r="M826" s="4"/>
      <c r="N826" s="4"/>
    </row>
    <row r="827" spans="12:14" ht="13" x14ac:dyDescent="0.15">
      <c r="L827" s="4"/>
      <c r="M827" s="4"/>
      <c r="N827" s="4"/>
    </row>
    <row r="828" spans="12:14" ht="13" x14ac:dyDescent="0.15">
      <c r="L828" s="4"/>
      <c r="M828" s="4"/>
      <c r="N828" s="4"/>
    </row>
    <row r="829" spans="12:14" ht="13" x14ac:dyDescent="0.15">
      <c r="L829" s="4"/>
      <c r="M829" s="4"/>
      <c r="N829" s="4"/>
    </row>
    <row r="830" spans="12:14" ht="13" x14ac:dyDescent="0.15">
      <c r="L830" s="4"/>
      <c r="M830" s="4"/>
      <c r="N830" s="4"/>
    </row>
    <row r="831" spans="12:14" ht="13" x14ac:dyDescent="0.15">
      <c r="L831" s="4"/>
      <c r="M831" s="4"/>
      <c r="N831" s="4"/>
    </row>
    <row r="832" spans="12:14" ht="13" x14ac:dyDescent="0.15">
      <c r="L832" s="4"/>
      <c r="M832" s="4"/>
      <c r="N832" s="4"/>
    </row>
    <row r="833" spans="12:14" ht="13" x14ac:dyDescent="0.15">
      <c r="L833" s="4"/>
      <c r="M833" s="4"/>
      <c r="N833" s="4"/>
    </row>
    <row r="834" spans="12:14" ht="13" x14ac:dyDescent="0.15">
      <c r="L834" s="4"/>
      <c r="M834" s="4"/>
      <c r="N834" s="4"/>
    </row>
    <row r="835" spans="12:14" ht="13" x14ac:dyDescent="0.15">
      <c r="L835" s="4"/>
      <c r="M835" s="4"/>
      <c r="N835" s="4"/>
    </row>
    <row r="836" spans="12:14" ht="13" x14ac:dyDescent="0.15">
      <c r="L836" s="4"/>
      <c r="M836" s="4"/>
      <c r="N836" s="4"/>
    </row>
    <row r="837" spans="12:14" ht="13" x14ac:dyDescent="0.15">
      <c r="L837" s="4"/>
      <c r="M837" s="4"/>
      <c r="N837" s="4"/>
    </row>
    <row r="838" spans="12:14" ht="13" x14ac:dyDescent="0.15">
      <c r="L838" s="4"/>
      <c r="M838" s="4"/>
      <c r="N838" s="4"/>
    </row>
    <row r="839" spans="12:14" ht="13" x14ac:dyDescent="0.15">
      <c r="L839" s="4"/>
      <c r="M839" s="4"/>
      <c r="N839" s="4"/>
    </row>
    <row r="840" spans="12:14" ht="13" x14ac:dyDescent="0.15">
      <c r="L840" s="4"/>
      <c r="M840" s="4"/>
      <c r="N840" s="4"/>
    </row>
    <row r="841" spans="12:14" ht="13" x14ac:dyDescent="0.15">
      <c r="L841" s="4"/>
      <c r="M841" s="4"/>
      <c r="N841" s="4"/>
    </row>
    <row r="842" spans="12:14" ht="13" x14ac:dyDescent="0.15">
      <c r="L842" s="4"/>
      <c r="M842" s="4"/>
      <c r="N842" s="4"/>
    </row>
    <row r="843" spans="12:14" ht="13" x14ac:dyDescent="0.15">
      <c r="L843" s="4"/>
      <c r="M843" s="4"/>
      <c r="N843" s="4"/>
    </row>
    <row r="844" spans="12:14" ht="13" x14ac:dyDescent="0.15">
      <c r="L844" s="4"/>
      <c r="M844" s="4"/>
      <c r="N844" s="4"/>
    </row>
    <row r="845" spans="12:14" ht="13" x14ac:dyDescent="0.15">
      <c r="L845" s="4"/>
      <c r="M845" s="4"/>
      <c r="N845" s="4"/>
    </row>
    <row r="846" spans="12:14" ht="13" x14ac:dyDescent="0.15">
      <c r="L846" s="4"/>
      <c r="M846" s="4"/>
      <c r="N846" s="4"/>
    </row>
    <row r="847" spans="12:14" ht="13" x14ac:dyDescent="0.15">
      <c r="L847" s="4"/>
      <c r="M847" s="4"/>
      <c r="N847" s="4"/>
    </row>
    <row r="848" spans="12:14" ht="13" x14ac:dyDescent="0.15">
      <c r="L848" s="4"/>
      <c r="M848" s="4"/>
      <c r="N848" s="4"/>
    </row>
    <row r="849" spans="12:14" ht="13" x14ac:dyDescent="0.15">
      <c r="L849" s="4"/>
      <c r="M849" s="4"/>
      <c r="N849" s="4"/>
    </row>
    <row r="850" spans="12:14" ht="13" x14ac:dyDescent="0.15">
      <c r="L850" s="4"/>
      <c r="M850" s="4"/>
      <c r="N850" s="4"/>
    </row>
    <row r="851" spans="12:14" ht="13" x14ac:dyDescent="0.15">
      <c r="L851" s="4"/>
      <c r="M851" s="4"/>
      <c r="N851" s="4"/>
    </row>
    <row r="852" spans="12:14" ht="13" x14ac:dyDescent="0.15">
      <c r="L852" s="4"/>
      <c r="M852" s="4"/>
      <c r="N852" s="4"/>
    </row>
    <row r="853" spans="12:14" ht="13" x14ac:dyDescent="0.15">
      <c r="L853" s="4"/>
      <c r="M853" s="4"/>
      <c r="N853" s="4"/>
    </row>
    <row r="854" spans="12:14" ht="13" x14ac:dyDescent="0.15">
      <c r="L854" s="4"/>
      <c r="M854" s="4"/>
      <c r="N854" s="4"/>
    </row>
    <row r="855" spans="12:14" ht="13" x14ac:dyDescent="0.15">
      <c r="L855" s="4"/>
      <c r="M855" s="4"/>
      <c r="N855" s="4"/>
    </row>
    <row r="856" spans="12:14" ht="13" x14ac:dyDescent="0.15">
      <c r="L856" s="4"/>
      <c r="M856" s="4"/>
      <c r="N856" s="4"/>
    </row>
    <row r="857" spans="12:14" ht="13" x14ac:dyDescent="0.15">
      <c r="L857" s="4"/>
      <c r="M857" s="4"/>
      <c r="N857" s="4"/>
    </row>
    <row r="858" spans="12:14" ht="13" x14ac:dyDescent="0.15">
      <c r="L858" s="4"/>
      <c r="M858" s="4"/>
      <c r="N858" s="4"/>
    </row>
    <row r="859" spans="12:14" ht="13" x14ac:dyDescent="0.15">
      <c r="L859" s="4"/>
      <c r="M859" s="4"/>
      <c r="N859" s="4"/>
    </row>
    <row r="860" spans="12:14" ht="13" x14ac:dyDescent="0.15">
      <c r="L860" s="4"/>
      <c r="M860" s="4"/>
      <c r="N860" s="4"/>
    </row>
    <row r="861" spans="12:14" ht="13" x14ac:dyDescent="0.15">
      <c r="L861" s="4"/>
      <c r="M861" s="4"/>
      <c r="N861" s="4"/>
    </row>
    <row r="862" spans="12:14" ht="13" x14ac:dyDescent="0.15">
      <c r="L862" s="4"/>
      <c r="M862" s="4"/>
      <c r="N862" s="4"/>
    </row>
    <row r="863" spans="12:14" ht="13" x14ac:dyDescent="0.15">
      <c r="L863" s="4"/>
      <c r="M863" s="4"/>
      <c r="N863" s="4"/>
    </row>
    <row r="864" spans="12:14" ht="13" x14ac:dyDescent="0.15">
      <c r="L864" s="4"/>
      <c r="M864" s="4"/>
      <c r="N864" s="4"/>
    </row>
    <row r="865" spans="12:14" ht="13" x14ac:dyDescent="0.15">
      <c r="L865" s="4"/>
      <c r="M865" s="4"/>
      <c r="N865" s="4"/>
    </row>
    <row r="866" spans="12:14" ht="13" x14ac:dyDescent="0.15">
      <c r="L866" s="4"/>
      <c r="M866" s="4"/>
      <c r="N866" s="4"/>
    </row>
    <row r="867" spans="12:14" ht="13" x14ac:dyDescent="0.15">
      <c r="L867" s="4"/>
      <c r="M867" s="4"/>
      <c r="N867" s="4"/>
    </row>
    <row r="868" spans="12:14" ht="13" x14ac:dyDescent="0.15">
      <c r="L868" s="4"/>
      <c r="M868" s="4"/>
      <c r="N868" s="4"/>
    </row>
    <row r="869" spans="12:14" ht="13" x14ac:dyDescent="0.15">
      <c r="L869" s="4"/>
      <c r="M869" s="4"/>
      <c r="N869" s="4"/>
    </row>
    <row r="870" spans="12:14" ht="13" x14ac:dyDescent="0.15">
      <c r="L870" s="4"/>
      <c r="M870" s="4"/>
      <c r="N870" s="4"/>
    </row>
    <row r="871" spans="12:14" ht="13" x14ac:dyDescent="0.15">
      <c r="L871" s="4"/>
      <c r="M871" s="4"/>
      <c r="N871" s="4"/>
    </row>
    <row r="872" spans="12:14" ht="13" x14ac:dyDescent="0.15">
      <c r="L872" s="4"/>
      <c r="M872" s="4"/>
      <c r="N872" s="4"/>
    </row>
    <row r="873" spans="12:14" ht="13" x14ac:dyDescent="0.15">
      <c r="L873" s="4"/>
      <c r="M873" s="4"/>
      <c r="N873" s="4"/>
    </row>
    <row r="874" spans="12:14" ht="13" x14ac:dyDescent="0.15">
      <c r="L874" s="4"/>
      <c r="M874" s="4"/>
      <c r="N874" s="4"/>
    </row>
    <row r="875" spans="12:14" ht="13" x14ac:dyDescent="0.15">
      <c r="L875" s="4"/>
      <c r="M875" s="4"/>
      <c r="N875" s="4"/>
    </row>
    <row r="876" spans="12:14" ht="13" x14ac:dyDescent="0.15">
      <c r="L876" s="4"/>
      <c r="M876" s="4"/>
      <c r="N876" s="4"/>
    </row>
    <row r="877" spans="12:14" ht="13" x14ac:dyDescent="0.15">
      <c r="L877" s="4"/>
      <c r="M877" s="4"/>
      <c r="N877" s="4"/>
    </row>
    <row r="878" spans="12:14" ht="13" x14ac:dyDescent="0.15">
      <c r="L878" s="4"/>
      <c r="M878" s="4"/>
      <c r="N878" s="4"/>
    </row>
    <row r="879" spans="12:14" ht="13" x14ac:dyDescent="0.15">
      <c r="L879" s="4"/>
      <c r="M879" s="4"/>
      <c r="N879" s="4"/>
    </row>
    <row r="880" spans="12:14" ht="13" x14ac:dyDescent="0.15">
      <c r="L880" s="4"/>
      <c r="M880" s="4"/>
      <c r="N880" s="4"/>
    </row>
    <row r="881" spans="12:14" ht="13" x14ac:dyDescent="0.15">
      <c r="L881" s="4"/>
      <c r="M881" s="4"/>
      <c r="N881" s="4"/>
    </row>
    <row r="882" spans="12:14" ht="13" x14ac:dyDescent="0.15">
      <c r="L882" s="4"/>
      <c r="M882" s="4"/>
      <c r="N882" s="4"/>
    </row>
    <row r="883" spans="12:14" ht="13" x14ac:dyDescent="0.15">
      <c r="L883" s="4"/>
      <c r="M883" s="4"/>
      <c r="N883" s="4"/>
    </row>
    <row r="884" spans="12:14" ht="13" x14ac:dyDescent="0.15">
      <c r="L884" s="4"/>
      <c r="M884" s="4"/>
      <c r="N884" s="4"/>
    </row>
    <row r="885" spans="12:14" ht="13" x14ac:dyDescent="0.15">
      <c r="L885" s="4"/>
      <c r="M885" s="4"/>
      <c r="N885" s="4"/>
    </row>
    <row r="886" spans="12:14" ht="13" x14ac:dyDescent="0.15">
      <c r="L886" s="4"/>
      <c r="M886" s="4"/>
      <c r="N886" s="4"/>
    </row>
    <row r="887" spans="12:14" ht="13" x14ac:dyDescent="0.15">
      <c r="L887" s="4"/>
      <c r="M887" s="4"/>
      <c r="N887" s="4"/>
    </row>
    <row r="888" spans="12:14" ht="13" x14ac:dyDescent="0.15">
      <c r="L888" s="4"/>
      <c r="M888" s="4"/>
      <c r="N888" s="4"/>
    </row>
    <row r="889" spans="12:14" ht="13" x14ac:dyDescent="0.15">
      <c r="L889" s="4"/>
      <c r="M889" s="4"/>
      <c r="N889" s="4"/>
    </row>
    <row r="890" spans="12:14" ht="13" x14ac:dyDescent="0.15">
      <c r="L890" s="4"/>
      <c r="M890" s="4"/>
      <c r="N890" s="4"/>
    </row>
    <row r="891" spans="12:14" ht="13" x14ac:dyDescent="0.15">
      <c r="L891" s="4"/>
      <c r="M891" s="4"/>
      <c r="N891" s="4"/>
    </row>
    <row r="892" spans="12:14" ht="13" x14ac:dyDescent="0.15">
      <c r="L892" s="4"/>
      <c r="M892" s="4"/>
      <c r="N892" s="4"/>
    </row>
    <row r="893" spans="12:14" ht="13" x14ac:dyDescent="0.15">
      <c r="L893" s="4"/>
      <c r="M893" s="4"/>
      <c r="N893" s="4"/>
    </row>
    <row r="894" spans="12:14" ht="13" x14ac:dyDescent="0.15">
      <c r="L894" s="4"/>
      <c r="M894" s="4"/>
      <c r="N894" s="4"/>
    </row>
    <row r="895" spans="12:14" ht="13" x14ac:dyDescent="0.15">
      <c r="L895" s="4"/>
      <c r="M895" s="4"/>
      <c r="N895" s="4"/>
    </row>
    <row r="896" spans="12:14" ht="13" x14ac:dyDescent="0.15">
      <c r="L896" s="4"/>
      <c r="M896" s="4"/>
      <c r="N896" s="4"/>
    </row>
    <row r="897" spans="12:14" ht="13" x14ac:dyDescent="0.15">
      <c r="L897" s="4"/>
      <c r="M897" s="4"/>
      <c r="N897" s="4"/>
    </row>
    <row r="898" spans="12:14" ht="13" x14ac:dyDescent="0.15">
      <c r="L898" s="4"/>
      <c r="M898" s="4"/>
      <c r="N898" s="4"/>
    </row>
    <row r="899" spans="12:14" ht="13" x14ac:dyDescent="0.15">
      <c r="L899" s="4"/>
      <c r="M899" s="4"/>
      <c r="N899" s="4"/>
    </row>
    <row r="900" spans="12:14" ht="13" x14ac:dyDescent="0.15">
      <c r="L900" s="4"/>
      <c r="M900" s="4"/>
      <c r="N900" s="4"/>
    </row>
    <row r="901" spans="12:14" ht="13" x14ac:dyDescent="0.15">
      <c r="L901" s="4"/>
      <c r="M901" s="4"/>
      <c r="N901" s="4"/>
    </row>
    <row r="902" spans="12:14" ht="13" x14ac:dyDescent="0.15">
      <c r="L902" s="4"/>
      <c r="M902" s="4"/>
      <c r="N902" s="4"/>
    </row>
    <row r="903" spans="12:14" ht="13" x14ac:dyDescent="0.15">
      <c r="L903" s="4"/>
      <c r="M903" s="4"/>
      <c r="N903" s="4"/>
    </row>
    <row r="904" spans="12:14" ht="13" x14ac:dyDescent="0.15">
      <c r="L904" s="4"/>
      <c r="M904" s="4"/>
      <c r="N904" s="4"/>
    </row>
    <row r="905" spans="12:14" ht="13" x14ac:dyDescent="0.15">
      <c r="L905" s="4"/>
      <c r="M905" s="4"/>
      <c r="N905" s="4"/>
    </row>
    <row r="906" spans="12:14" ht="13" x14ac:dyDescent="0.15">
      <c r="L906" s="4"/>
      <c r="M906" s="4"/>
      <c r="N906" s="4"/>
    </row>
    <row r="907" spans="12:14" ht="13" x14ac:dyDescent="0.15">
      <c r="L907" s="4"/>
      <c r="M907" s="4"/>
      <c r="N907" s="4"/>
    </row>
    <row r="908" spans="12:14" ht="13" x14ac:dyDescent="0.15">
      <c r="L908" s="4"/>
      <c r="M908" s="4"/>
      <c r="N908" s="4"/>
    </row>
    <row r="909" spans="12:14" ht="13" x14ac:dyDescent="0.15">
      <c r="L909" s="4"/>
      <c r="M909" s="4"/>
      <c r="N909" s="4"/>
    </row>
    <row r="910" spans="12:14" ht="13" x14ac:dyDescent="0.15">
      <c r="L910" s="4"/>
      <c r="M910" s="4"/>
      <c r="N910" s="4"/>
    </row>
    <row r="911" spans="12:14" ht="13" x14ac:dyDescent="0.15">
      <c r="L911" s="4"/>
      <c r="M911" s="4"/>
      <c r="N911" s="4"/>
    </row>
    <row r="912" spans="12:14" ht="13" x14ac:dyDescent="0.15">
      <c r="L912" s="4"/>
      <c r="M912" s="4"/>
      <c r="N912" s="4"/>
    </row>
    <row r="913" spans="12:14" ht="13" x14ac:dyDescent="0.15">
      <c r="L913" s="4"/>
      <c r="M913" s="4"/>
      <c r="N913" s="4"/>
    </row>
    <row r="914" spans="12:14" ht="13" x14ac:dyDescent="0.15">
      <c r="L914" s="4"/>
      <c r="M914" s="4"/>
      <c r="N914" s="4"/>
    </row>
    <row r="915" spans="12:14" ht="13" x14ac:dyDescent="0.15">
      <c r="L915" s="4"/>
      <c r="M915" s="4"/>
      <c r="N915" s="4"/>
    </row>
    <row r="916" spans="12:14" ht="13" x14ac:dyDescent="0.15">
      <c r="L916" s="4"/>
      <c r="M916" s="4"/>
      <c r="N916" s="4"/>
    </row>
    <row r="917" spans="12:14" ht="13" x14ac:dyDescent="0.15">
      <c r="L917" s="4"/>
      <c r="M917" s="4"/>
      <c r="N917" s="4"/>
    </row>
    <row r="918" spans="12:14" ht="13" x14ac:dyDescent="0.15">
      <c r="L918" s="4"/>
      <c r="M918" s="4"/>
      <c r="N918" s="4"/>
    </row>
    <row r="919" spans="12:14" ht="13" x14ac:dyDescent="0.15">
      <c r="L919" s="4"/>
      <c r="M919" s="4"/>
      <c r="N919" s="4"/>
    </row>
    <row r="920" spans="12:14" ht="13" x14ac:dyDescent="0.15">
      <c r="L920" s="4"/>
      <c r="M920" s="4"/>
      <c r="N920" s="4"/>
    </row>
    <row r="921" spans="12:14" ht="13" x14ac:dyDescent="0.15">
      <c r="L921" s="4"/>
      <c r="M921" s="4"/>
      <c r="N921" s="4"/>
    </row>
    <row r="922" spans="12:14" ht="13" x14ac:dyDescent="0.15">
      <c r="L922" s="4"/>
      <c r="M922" s="4"/>
      <c r="N922" s="4"/>
    </row>
    <row r="923" spans="12:14" ht="13" x14ac:dyDescent="0.15">
      <c r="L923" s="4"/>
      <c r="M923" s="4"/>
      <c r="N923" s="4"/>
    </row>
    <row r="924" spans="12:14" ht="13" x14ac:dyDescent="0.15">
      <c r="L924" s="4"/>
      <c r="M924" s="4"/>
      <c r="N924" s="4"/>
    </row>
    <row r="925" spans="12:14" ht="13" x14ac:dyDescent="0.15">
      <c r="L925" s="4"/>
      <c r="M925" s="4"/>
      <c r="N925" s="4"/>
    </row>
    <row r="926" spans="12:14" ht="13" x14ac:dyDescent="0.15">
      <c r="L926" s="4"/>
      <c r="M926" s="4"/>
      <c r="N926" s="4"/>
    </row>
    <row r="927" spans="12:14" ht="13" x14ac:dyDescent="0.15">
      <c r="L927" s="4"/>
      <c r="M927" s="4"/>
      <c r="N927" s="4"/>
    </row>
    <row r="928" spans="12:14" ht="13" x14ac:dyDescent="0.15">
      <c r="L928" s="4"/>
      <c r="M928" s="4"/>
      <c r="N928" s="4"/>
    </row>
    <row r="929" spans="12:14" ht="13" x14ac:dyDescent="0.15">
      <c r="L929" s="4"/>
      <c r="M929" s="4"/>
      <c r="N929" s="4"/>
    </row>
    <row r="930" spans="12:14" ht="13" x14ac:dyDescent="0.15">
      <c r="L930" s="4"/>
      <c r="M930" s="4"/>
      <c r="N930" s="4"/>
    </row>
    <row r="931" spans="12:14" ht="13" x14ac:dyDescent="0.15">
      <c r="L931" s="4"/>
      <c r="M931" s="4"/>
      <c r="N931" s="4"/>
    </row>
    <row r="932" spans="12:14" ht="13" x14ac:dyDescent="0.15">
      <c r="L932" s="4"/>
      <c r="M932" s="4"/>
      <c r="N932" s="4"/>
    </row>
    <row r="933" spans="12:14" ht="13" x14ac:dyDescent="0.15">
      <c r="L933" s="4"/>
      <c r="M933" s="4"/>
      <c r="N933" s="4"/>
    </row>
    <row r="934" spans="12:14" ht="13" x14ac:dyDescent="0.15">
      <c r="L934" s="4"/>
      <c r="M934" s="4"/>
      <c r="N934" s="4"/>
    </row>
    <row r="935" spans="12:14" ht="13" x14ac:dyDescent="0.15">
      <c r="L935" s="4"/>
      <c r="M935" s="4"/>
      <c r="N935" s="4"/>
    </row>
    <row r="936" spans="12:14" ht="13" x14ac:dyDescent="0.15">
      <c r="L936" s="4"/>
      <c r="M936" s="4"/>
      <c r="N936" s="4"/>
    </row>
    <row r="937" spans="12:14" ht="13" x14ac:dyDescent="0.15">
      <c r="L937" s="4"/>
      <c r="M937" s="4"/>
      <c r="N937" s="4"/>
    </row>
    <row r="938" spans="12:14" ht="13" x14ac:dyDescent="0.15">
      <c r="L938" s="4"/>
      <c r="M938" s="4"/>
      <c r="N938" s="4"/>
    </row>
    <row r="939" spans="12:14" ht="13" x14ac:dyDescent="0.15">
      <c r="L939" s="4"/>
      <c r="M939" s="4"/>
      <c r="N939" s="4"/>
    </row>
    <row r="940" spans="12:14" ht="13" x14ac:dyDescent="0.15">
      <c r="L940" s="4"/>
      <c r="M940" s="4"/>
      <c r="N940" s="4"/>
    </row>
    <row r="941" spans="12:14" ht="13" x14ac:dyDescent="0.15">
      <c r="L941" s="4"/>
      <c r="M941" s="4"/>
      <c r="N941" s="4"/>
    </row>
    <row r="942" spans="12:14" ht="13" x14ac:dyDescent="0.15">
      <c r="L942" s="4"/>
      <c r="M942" s="4"/>
      <c r="N942" s="4"/>
    </row>
    <row r="943" spans="12:14" ht="13" x14ac:dyDescent="0.15">
      <c r="L943" s="4"/>
      <c r="M943" s="4"/>
      <c r="N943" s="4"/>
    </row>
    <row r="944" spans="12:14" ht="13" x14ac:dyDescent="0.15">
      <c r="L944" s="4"/>
      <c r="M944" s="4"/>
      <c r="N944" s="4"/>
    </row>
    <row r="945" spans="12:14" ht="13" x14ac:dyDescent="0.15">
      <c r="L945" s="4"/>
      <c r="M945" s="4"/>
      <c r="N945" s="4"/>
    </row>
    <row r="946" spans="12:14" ht="13" x14ac:dyDescent="0.15">
      <c r="L946" s="4"/>
      <c r="M946" s="4"/>
      <c r="N946" s="4"/>
    </row>
    <row r="947" spans="12:14" ht="13" x14ac:dyDescent="0.15">
      <c r="L947" s="4"/>
      <c r="M947" s="4"/>
      <c r="N947" s="4"/>
    </row>
    <row r="948" spans="12:14" ht="13" x14ac:dyDescent="0.15">
      <c r="L948" s="4"/>
      <c r="M948" s="4"/>
      <c r="N948" s="4"/>
    </row>
    <row r="949" spans="12:14" ht="13" x14ac:dyDescent="0.15">
      <c r="L949" s="4"/>
      <c r="M949" s="4"/>
      <c r="N949" s="4"/>
    </row>
    <row r="950" spans="12:14" ht="13" x14ac:dyDescent="0.15">
      <c r="L950" s="4"/>
      <c r="M950" s="4"/>
      <c r="N950" s="4"/>
    </row>
    <row r="951" spans="12:14" ht="13" x14ac:dyDescent="0.15">
      <c r="L951" s="4"/>
      <c r="M951" s="4"/>
      <c r="N951" s="4"/>
    </row>
    <row r="952" spans="12:14" ht="13" x14ac:dyDescent="0.15">
      <c r="L952" s="4"/>
      <c r="M952" s="4"/>
      <c r="N952" s="4"/>
    </row>
    <row r="953" spans="12:14" ht="13" x14ac:dyDescent="0.15">
      <c r="L953" s="4"/>
      <c r="M953" s="4"/>
      <c r="N953" s="4"/>
    </row>
    <row r="954" spans="12:14" ht="13" x14ac:dyDescent="0.15">
      <c r="L954" s="4"/>
      <c r="M954" s="4"/>
      <c r="N954" s="4"/>
    </row>
    <row r="955" spans="12:14" ht="13" x14ac:dyDescent="0.15">
      <c r="L955" s="4"/>
      <c r="M955" s="4"/>
      <c r="N955" s="4"/>
    </row>
    <row r="956" spans="12:14" ht="13" x14ac:dyDescent="0.15">
      <c r="L956" s="4"/>
      <c r="M956" s="4"/>
      <c r="N956" s="4"/>
    </row>
    <row r="957" spans="12:14" ht="13" x14ac:dyDescent="0.15">
      <c r="L957" s="4"/>
      <c r="M957" s="4"/>
      <c r="N957" s="4"/>
    </row>
    <row r="958" spans="12:14" ht="13" x14ac:dyDescent="0.15">
      <c r="L958" s="4"/>
      <c r="M958" s="4"/>
      <c r="N958" s="4"/>
    </row>
    <row r="959" spans="12:14" ht="13" x14ac:dyDescent="0.15">
      <c r="L959" s="4"/>
      <c r="M959" s="4"/>
      <c r="N959" s="4"/>
    </row>
    <row r="960" spans="12:14" ht="13" x14ac:dyDescent="0.15">
      <c r="L960" s="4"/>
      <c r="M960" s="4"/>
      <c r="N960" s="4"/>
    </row>
    <row r="961" spans="12:14" ht="13" x14ac:dyDescent="0.15">
      <c r="L961" s="4"/>
      <c r="M961" s="4"/>
      <c r="N961" s="4"/>
    </row>
    <row r="962" spans="12:14" ht="13" x14ac:dyDescent="0.15">
      <c r="L962" s="4"/>
      <c r="M962" s="4"/>
      <c r="N962" s="4"/>
    </row>
    <row r="963" spans="12:14" ht="13" x14ac:dyDescent="0.15">
      <c r="L963" s="4"/>
      <c r="M963" s="4"/>
      <c r="N963" s="4"/>
    </row>
    <row r="964" spans="12:14" ht="13" x14ac:dyDescent="0.15">
      <c r="L964" s="4"/>
      <c r="M964" s="4"/>
      <c r="N964" s="4"/>
    </row>
    <row r="965" spans="12:14" ht="13" x14ac:dyDescent="0.15">
      <c r="L965" s="4"/>
      <c r="M965" s="4"/>
      <c r="N965" s="4"/>
    </row>
    <row r="966" spans="12:14" ht="13" x14ac:dyDescent="0.15">
      <c r="L966" s="4"/>
      <c r="M966" s="4"/>
      <c r="N966" s="4"/>
    </row>
    <row r="967" spans="12:14" ht="13" x14ac:dyDescent="0.15">
      <c r="L967" s="4"/>
      <c r="M967" s="4"/>
      <c r="N967" s="4"/>
    </row>
    <row r="968" spans="12:14" ht="13" x14ac:dyDescent="0.15">
      <c r="L968" s="4"/>
      <c r="M968" s="4"/>
      <c r="N968" s="4"/>
    </row>
    <row r="969" spans="12:14" ht="13" x14ac:dyDescent="0.15">
      <c r="L969" s="4"/>
      <c r="M969" s="4"/>
      <c r="N969" s="4"/>
    </row>
    <row r="970" spans="12:14" ht="13" x14ac:dyDescent="0.15">
      <c r="L970" s="4"/>
      <c r="M970" s="4"/>
      <c r="N970" s="4"/>
    </row>
    <row r="971" spans="12:14" ht="13" x14ac:dyDescent="0.15">
      <c r="L971" s="4"/>
      <c r="M971" s="4"/>
      <c r="N971" s="4"/>
    </row>
    <row r="972" spans="12:14" ht="13" x14ac:dyDescent="0.15">
      <c r="L972" s="4"/>
      <c r="M972" s="4"/>
      <c r="N972" s="4"/>
    </row>
    <row r="973" spans="12:14" ht="13" x14ac:dyDescent="0.15">
      <c r="L973" s="4"/>
      <c r="M973" s="4"/>
      <c r="N973" s="4"/>
    </row>
    <row r="974" spans="12:14" ht="13" x14ac:dyDescent="0.15">
      <c r="L974" s="4"/>
      <c r="M974" s="4"/>
      <c r="N974" s="4"/>
    </row>
    <row r="975" spans="12:14" ht="13" x14ac:dyDescent="0.15">
      <c r="L975" s="4"/>
      <c r="M975" s="4"/>
      <c r="N975" s="4"/>
    </row>
    <row r="976" spans="12:14" ht="13" x14ac:dyDescent="0.15">
      <c r="L976" s="4"/>
      <c r="M976" s="4"/>
      <c r="N976" s="4"/>
    </row>
    <row r="977" spans="12:14" ht="13" x14ac:dyDescent="0.15">
      <c r="L977" s="4"/>
      <c r="M977" s="4"/>
      <c r="N977" s="4"/>
    </row>
    <row r="978" spans="12:14" ht="13" x14ac:dyDescent="0.15">
      <c r="L978" s="4"/>
      <c r="M978" s="4"/>
      <c r="N978" s="4"/>
    </row>
    <row r="979" spans="12:14" ht="13" x14ac:dyDescent="0.15">
      <c r="L979" s="4"/>
      <c r="M979" s="4"/>
      <c r="N979" s="4"/>
    </row>
    <row r="980" spans="12:14" ht="13" x14ac:dyDescent="0.15">
      <c r="L980" s="4"/>
      <c r="M980" s="4"/>
      <c r="N980" s="4"/>
    </row>
    <row r="981" spans="12:14" ht="13" x14ac:dyDescent="0.15">
      <c r="L981" s="4"/>
      <c r="M981" s="4"/>
      <c r="N981" s="4"/>
    </row>
    <row r="982" spans="12:14" ht="13" x14ac:dyDescent="0.15">
      <c r="L982" s="4"/>
      <c r="M982" s="4"/>
      <c r="N982" s="4"/>
    </row>
    <row r="983" spans="12:14" ht="13" x14ac:dyDescent="0.15">
      <c r="L983" s="4"/>
      <c r="M983" s="4"/>
      <c r="N983" s="4"/>
    </row>
    <row r="984" spans="12:14" ht="13" x14ac:dyDescent="0.15">
      <c r="L984" s="4"/>
      <c r="M984" s="4"/>
      <c r="N984" s="4"/>
    </row>
    <row r="985" spans="12:14" ht="13" x14ac:dyDescent="0.15">
      <c r="L985" s="4"/>
      <c r="M985" s="4"/>
      <c r="N985" s="4"/>
    </row>
    <row r="986" spans="12:14" ht="13" x14ac:dyDescent="0.15">
      <c r="L986" s="4"/>
      <c r="M986" s="4"/>
      <c r="N986" s="4"/>
    </row>
    <row r="987" spans="12:14" ht="13" x14ac:dyDescent="0.15">
      <c r="L987" s="4"/>
      <c r="M987" s="4"/>
      <c r="N987" s="4"/>
    </row>
    <row r="988" spans="12:14" ht="13" x14ac:dyDescent="0.15">
      <c r="L988" s="4"/>
      <c r="M988" s="4"/>
      <c r="N988" s="4"/>
    </row>
    <row r="989" spans="12:14" ht="13" x14ac:dyDescent="0.15">
      <c r="L989" s="4"/>
      <c r="M989" s="4"/>
      <c r="N989" s="4"/>
    </row>
    <row r="990" spans="12:14" ht="13" x14ac:dyDescent="0.15">
      <c r="L990" s="4"/>
      <c r="M990" s="4"/>
      <c r="N990" s="4"/>
    </row>
    <row r="991" spans="12:14" ht="13" x14ac:dyDescent="0.15">
      <c r="L991" s="4"/>
      <c r="M991" s="4"/>
      <c r="N991" s="4"/>
    </row>
    <row r="992" spans="12:14" ht="13" x14ac:dyDescent="0.15">
      <c r="L992" s="4"/>
      <c r="M992" s="4"/>
      <c r="N992" s="4"/>
    </row>
    <row r="993" spans="12:14" ht="13" x14ac:dyDescent="0.15">
      <c r="L993" s="4"/>
      <c r="M993" s="4"/>
      <c r="N993" s="4"/>
    </row>
    <row r="994" spans="12:14" ht="13" x14ac:dyDescent="0.15">
      <c r="L994" s="4"/>
      <c r="M994" s="4"/>
      <c r="N994" s="4"/>
    </row>
    <row r="995" spans="12:14" ht="13" x14ac:dyDescent="0.15">
      <c r="L995" s="4"/>
      <c r="M995" s="4"/>
      <c r="N995" s="4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4"/>
  <sheetViews>
    <sheetView zoomScale="140" workbookViewId="0">
      <selection activeCell="J35" sqref="J35"/>
    </sheetView>
  </sheetViews>
  <sheetFormatPr baseColWidth="10" defaultColWidth="12.6640625" defaultRowHeight="15.75" customHeight="1" x14ac:dyDescent="0.15"/>
  <sheetData>
    <row r="1" spans="1:13" ht="15.75" customHeight="1" x14ac:dyDescent="0.15">
      <c r="B1" s="1"/>
      <c r="C1" s="1"/>
      <c r="D1" s="1" t="s">
        <v>305</v>
      </c>
      <c r="E1" s="1" t="s">
        <v>306</v>
      </c>
      <c r="F1" s="1" t="s">
        <v>307</v>
      </c>
      <c r="G1" s="1" t="s">
        <v>308</v>
      </c>
      <c r="H1" s="1"/>
      <c r="I1" s="1"/>
      <c r="J1" s="1"/>
      <c r="K1" s="1"/>
      <c r="L1" s="1"/>
      <c r="M1" s="1"/>
    </row>
    <row r="2" spans="1:13" ht="15.75" customHeight="1" x14ac:dyDescent="0.15">
      <c r="B2" s="1"/>
      <c r="C2" s="1"/>
      <c r="D2" s="2">
        <f>SUM(B5,B10,B11,B9*4)</f>
        <v>157.75739999999999</v>
      </c>
      <c r="E2" s="13">
        <f>B5/D2</f>
        <v>4.3997936071461623E-2</v>
      </c>
      <c r="F2" s="2">
        <f>B11/D2</f>
        <v>0.19633817494456679</v>
      </c>
      <c r="G2" s="2">
        <f>B10/D2</f>
        <v>0.35399290302705294</v>
      </c>
      <c r="H2" s="2"/>
      <c r="I2" s="2"/>
      <c r="J2" s="1"/>
      <c r="K2" s="1"/>
      <c r="L2" s="1"/>
      <c r="M2" s="1"/>
    </row>
    <row r="3" spans="1:13" ht="15.75" customHeight="1" x14ac:dyDescent="0.1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ht="15.75" customHeight="1" x14ac:dyDescent="0.15">
      <c r="A4" s="1"/>
      <c r="B4" s="1" t="s">
        <v>309</v>
      </c>
      <c r="D4" s="1" t="s">
        <v>310</v>
      </c>
      <c r="E4" s="1" t="s">
        <v>3</v>
      </c>
      <c r="F4" s="1" t="s">
        <v>4</v>
      </c>
      <c r="G4" s="1" t="s">
        <v>5</v>
      </c>
      <c r="H4" s="1" t="s">
        <v>311</v>
      </c>
      <c r="I4" s="1" t="s">
        <v>306</v>
      </c>
      <c r="J4" s="1" t="s">
        <v>312</v>
      </c>
      <c r="K4" s="1" t="s">
        <v>313</v>
      </c>
      <c r="L4" s="1" t="s">
        <v>314</v>
      </c>
      <c r="M4" s="1" t="s">
        <v>315</v>
      </c>
    </row>
    <row r="5" spans="1:13" ht="15.75" customHeight="1" x14ac:dyDescent="0.15">
      <c r="A5" s="1" t="s">
        <v>316</v>
      </c>
      <c r="B5" s="2">
        <v>6.9409999999999998</v>
      </c>
      <c r="D5" s="1" t="s">
        <v>317</v>
      </c>
      <c r="E5" s="14">
        <f t="shared" ref="E5:G5" si="0">1/3</f>
        <v>0.33333333333333331</v>
      </c>
      <c r="F5" s="14">
        <f t="shared" si="0"/>
        <v>0.33333333333333331</v>
      </c>
      <c r="G5" s="14">
        <f t="shared" si="0"/>
        <v>0.33333333333333331</v>
      </c>
      <c r="H5" s="9">
        <f t="shared" ref="H5:H9" si="1">B$5+B$6*E5+B$7*F5+B$8*G5+B$9*2</f>
        <v>96.461333333333329</v>
      </c>
      <c r="I5" s="14">
        <f t="shared" ref="I5:I9" si="2">B$5/H5</f>
        <v>7.195629336798165E-2</v>
      </c>
      <c r="J5" s="14">
        <f t="shared" ref="J5:J9" si="3">E5*$B$6/$H5</f>
        <v>0.20282185608050202</v>
      </c>
      <c r="K5" s="14">
        <f t="shared" ref="K5:K9" si="4">F5*$B$7/$H5</f>
        <v>0.20365051281342436</v>
      </c>
      <c r="L5" s="14">
        <f t="shared" ref="L5:L9" si="5">G5*$B$8/$H5</f>
        <v>0.18984463550161723</v>
      </c>
      <c r="M5" s="2">
        <v>4.1000000000000002E-2</v>
      </c>
    </row>
    <row r="6" spans="1:13" ht="15.75" customHeight="1" x14ac:dyDescent="0.15">
      <c r="A6" s="1" t="s">
        <v>318</v>
      </c>
      <c r="B6" s="2">
        <v>58.693399999999997</v>
      </c>
      <c r="D6" s="1" t="s">
        <v>319</v>
      </c>
      <c r="E6" s="14">
        <f>1/2</f>
        <v>0.5</v>
      </c>
      <c r="F6" s="14">
        <f>1/5</f>
        <v>0.2</v>
      </c>
      <c r="G6" s="14">
        <f>3/10</f>
        <v>0.3</v>
      </c>
      <c r="H6" s="9">
        <f t="shared" si="1"/>
        <v>96.554540000000003</v>
      </c>
      <c r="I6" s="14">
        <f t="shared" si="2"/>
        <v>7.1886832043319762E-2</v>
      </c>
      <c r="J6" s="14">
        <f t="shared" si="3"/>
        <v>0.30393910011895864</v>
      </c>
      <c r="K6" s="14">
        <f t="shared" si="4"/>
        <v>0.12207235413270054</v>
      </c>
      <c r="L6" s="14">
        <f t="shared" si="5"/>
        <v>0.17069523608107914</v>
      </c>
      <c r="M6" s="2">
        <v>0.107</v>
      </c>
    </row>
    <row r="7" spans="1:13" ht="15.75" customHeight="1" x14ac:dyDescent="0.15">
      <c r="A7" s="1" t="s">
        <v>320</v>
      </c>
      <c r="B7" s="2">
        <v>58.933199999999999</v>
      </c>
      <c r="D7" s="15" t="s">
        <v>321</v>
      </c>
      <c r="E7" s="16">
        <v>0.6</v>
      </c>
      <c r="F7" s="16">
        <v>0.2</v>
      </c>
      <c r="G7" s="16">
        <v>0.2</v>
      </c>
      <c r="H7" s="17">
        <f t="shared" si="1"/>
        <v>96.930080000000004</v>
      </c>
      <c r="I7" s="16">
        <f t="shared" si="2"/>
        <v>7.1608318078350899E-2</v>
      </c>
      <c r="J7" s="16">
        <f t="shared" si="3"/>
        <v>0.3633138443711178</v>
      </c>
      <c r="K7" s="16">
        <f t="shared" si="4"/>
        <v>0.1215994044366826</v>
      </c>
      <c r="L7" s="16">
        <f t="shared" si="5"/>
        <v>0.11335593656788481</v>
      </c>
      <c r="M7" s="2">
        <v>0.122</v>
      </c>
    </row>
    <row r="8" spans="1:13" ht="15.75" customHeight="1" x14ac:dyDescent="0.15">
      <c r="A8" s="1" t="s">
        <v>322</v>
      </c>
      <c r="B8" s="2">
        <v>54.938000000000002</v>
      </c>
      <c r="D8" s="1" t="s">
        <v>323</v>
      </c>
      <c r="E8" s="14">
        <f>7/9</f>
        <v>0.77777777777777779</v>
      </c>
      <c r="F8" s="14">
        <f>2/9</f>
        <v>0.22222222222222221</v>
      </c>
      <c r="G8" s="14">
        <f>1/9</f>
        <v>0.1111111111111111</v>
      </c>
      <c r="H8" s="9">
        <f t="shared" si="1"/>
        <v>103.79071111111111</v>
      </c>
      <c r="I8" s="14">
        <f t="shared" si="2"/>
        <v>6.6874963334333917E-2</v>
      </c>
      <c r="J8" s="14">
        <f t="shared" si="3"/>
        <v>0.4398314813871162</v>
      </c>
      <c r="K8" s="14">
        <f t="shared" si="4"/>
        <v>0.12617956391730195</v>
      </c>
      <c r="L8" s="14">
        <f t="shared" si="5"/>
        <v>5.881279891884994E-2</v>
      </c>
      <c r="M8" s="2">
        <v>0</v>
      </c>
    </row>
    <row r="9" spans="1:13" ht="15.75" customHeight="1" x14ac:dyDescent="0.15">
      <c r="A9" s="1" t="s">
        <v>324</v>
      </c>
      <c r="B9" s="2">
        <v>15.9994</v>
      </c>
      <c r="D9" s="1" t="s">
        <v>325</v>
      </c>
      <c r="E9" s="14">
        <v>0.8</v>
      </c>
      <c r="F9" s="14">
        <v>0.1</v>
      </c>
      <c r="G9" s="14">
        <v>0.1</v>
      </c>
      <c r="H9" s="9">
        <f t="shared" si="1"/>
        <v>97.28164000000001</v>
      </c>
      <c r="I9" s="34">
        <f t="shared" si="2"/>
        <v>7.1349537281649431E-2</v>
      </c>
      <c r="J9" s="14">
        <f t="shared" si="3"/>
        <v>0.4826678497607565</v>
      </c>
      <c r="K9" s="14">
        <f t="shared" si="4"/>
        <v>6.0579981998658737E-2</v>
      </c>
      <c r="L9" s="14">
        <f t="shared" si="5"/>
        <v>5.6473143339277582E-2</v>
      </c>
      <c r="M9" s="2">
        <v>2.9000000000000001E-2</v>
      </c>
    </row>
    <row r="10" spans="1:13" ht="15.75" customHeight="1" x14ac:dyDescent="0.15">
      <c r="A10" s="1" t="s">
        <v>326</v>
      </c>
      <c r="B10" s="2">
        <v>55.844999999999999</v>
      </c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15.75" customHeight="1" x14ac:dyDescent="0.15">
      <c r="A11" s="1" t="s">
        <v>327</v>
      </c>
      <c r="B11" s="2">
        <v>30.973800000000001</v>
      </c>
      <c r="D11" s="15" t="s">
        <v>328</v>
      </c>
      <c r="E11" s="16">
        <f t="shared" ref="E11:H11" si="6">SUMPRODUCT(E5:E9,$M5:$M9)/SUM($M5:$M9)</f>
        <v>0.54704570791527307</v>
      </c>
      <c r="F11" s="16">
        <f t="shared" si="6"/>
        <v>0.20858416945373465</v>
      </c>
      <c r="G11" s="16">
        <f t="shared" si="6"/>
        <v>0.24437012263099217</v>
      </c>
      <c r="H11" s="17">
        <f t="shared" si="6"/>
        <v>96.765510925306572</v>
      </c>
      <c r="I11" s="18">
        <f>B$5/H11</f>
        <v>7.1730102322900641E-2</v>
      </c>
      <c r="J11" s="18">
        <f>E11*$B$6/$H11</f>
        <v>0.3318121533790947</v>
      </c>
      <c r="K11" s="18">
        <f>F11*$B$7/$H11</f>
        <v>0.1270342341781201</v>
      </c>
      <c r="L11" s="18">
        <f>G11*$B$8/$H11</f>
        <v>0.13873957434549569</v>
      </c>
      <c r="M11" s="1"/>
    </row>
    <row r="12" spans="1:13" ht="15.75" customHeight="1" x14ac:dyDescent="0.15">
      <c r="A12" s="1" t="s">
        <v>329</v>
      </c>
      <c r="B12" s="1">
        <v>26.981539000000001</v>
      </c>
      <c r="D12" s="1" t="s">
        <v>330</v>
      </c>
      <c r="E12" s="1"/>
      <c r="F12" s="1"/>
      <c r="G12" s="1"/>
      <c r="H12" s="1"/>
      <c r="I12" s="1"/>
      <c r="J12" s="1"/>
      <c r="K12" s="1"/>
      <c r="L12" s="1"/>
      <c r="M12" s="1"/>
    </row>
    <row r="13" spans="1:13" ht="15.75" customHeight="1" x14ac:dyDescent="0.1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15.75" customHeight="1" x14ac:dyDescent="0.15">
      <c r="B14" s="1"/>
      <c r="C14" s="1"/>
      <c r="D14" s="1" t="s">
        <v>331</v>
      </c>
      <c r="E14" s="1"/>
      <c r="F14" s="1"/>
      <c r="G14" s="1"/>
      <c r="H14" s="1"/>
      <c r="I14" s="1"/>
      <c r="J14" s="1"/>
      <c r="K14" s="1"/>
      <c r="L14" s="1"/>
      <c r="M14" s="1"/>
    </row>
    <row r="15" spans="1:13" ht="15.75" customHeight="1" x14ac:dyDescent="0.15">
      <c r="B15" s="1"/>
      <c r="C15" s="1"/>
      <c r="D15" s="1"/>
      <c r="E15" s="1" t="s">
        <v>332</v>
      </c>
      <c r="F15" s="1" t="s">
        <v>333</v>
      </c>
      <c r="G15" s="1" t="s">
        <v>334</v>
      </c>
      <c r="H15" s="1" t="s">
        <v>335</v>
      </c>
      <c r="I15" s="1" t="s">
        <v>336</v>
      </c>
      <c r="J15" s="1" t="s">
        <v>337</v>
      </c>
      <c r="K15" s="1" t="s">
        <v>338</v>
      </c>
      <c r="L15" s="1" t="s">
        <v>339</v>
      </c>
      <c r="M15" s="1"/>
    </row>
    <row r="16" spans="1:13" ht="15.75" customHeight="1" x14ac:dyDescent="0.15">
      <c r="B16" s="1"/>
      <c r="C16" s="1"/>
      <c r="D16" s="1" t="s">
        <v>317</v>
      </c>
      <c r="E16" s="19">
        <v>0.5945334193686056</v>
      </c>
      <c r="F16" s="19">
        <v>0.96107626065765295</v>
      </c>
      <c r="G16" s="19">
        <v>0.5667172972475375</v>
      </c>
      <c r="H16" s="19">
        <v>1</v>
      </c>
      <c r="I16" s="19">
        <v>0.5667172972475375</v>
      </c>
      <c r="J16" s="19">
        <v>1</v>
      </c>
      <c r="K16" s="19">
        <v>0.5667172972475375</v>
      </c>
      <c r="L16" s="19">
        <v>1</v>
      </c>
      <c r="M16" s="1"/>
    </row>
    <row r="17" spans="2:13" ht="15.75" customHeight="1" x14ac:dyDescent="0.15">
      <c r="B17" s="1"/>
      <c r="C17" s="1"/>
      <c r="D17" s="1" t="s">
        <v>319</v>
      </c>
      <c r="E17" s="19">
        <v>0.59414163348798965</v>
      </c>
      <c r="F17" s="19">
        <v>0.96130031489819445</v>
      </c>
      <c r="G17" s="19">
        <v>0.5667172972475375</v>
      </c>
      <c r="H17" s="19">
        <v>1</v>
      </c>
      <c r="I17" s="19">
        <v>0.5667172972475375</v>
      </c>
      <c r="J17" s="19">
        <v>1</v>
      </c>
      <c r="K17" s="19">
        <v>0.5667172972475375</v>
      </c>
      <c r="L17" s="19">
        <v>1</v>
      </c>
      <c r="M17" s="1"/>
    </row>
    <row r="18" spans="2:13" ht="15.75" customHeight="1" x14ac:dyDescent="0.15">
      <c r="B18" s="1"/>
      <c r="C18" s="1"/>
      <c r="D18" s="1" t="s">
        <v>321</v>
      </c>
      <c r="E18" s="19">
        <v>0.5925630847117237</v>
      </c>
      <c r="F18" s="19">
        <v>0.96220305428907815</v>
      </c>
      <c r="G18" s="19">
        <v>0.5667172972475375</v>
      </c>
      <c r="H18" s="19">
        <v>1</v>
      </c>
      <c r="I18" s="19">
        <v>0.5667172972475375</v>
      </c>
      <c r="J18" s="19">
        <v>1</v>
      </c>
      <c r="K18" s="19">
        <v>0.5667172972475375</v>
      </c>
      <c r="L18" s="19">
        <v>1</v>
      </c>
      <c r="M18" s="1"/>
    </row>
    <row r="19" spans="2:13" ht="15.75" customHeight="1" x14ac:dyDescent="0.15">
      <c r="B19" s="1"/>
      <c r="C19" s="1"/>
      <c r="D19" s="1" t="s">
        <v>323</v>
      </c>
      <c r="E19" s="19">
        <v>0.56879391245534539</v>
      </c>
      <c r="F19" s="19">
        <v>0.97869493784428441</v>
      </c>
      <c r="G19" s="19">
        <v>0.5667172972475375</v>
      </c>
      <c r="H19" s="19">
        <v>1</v>
      </c>
      <c r="I19" s="19">
        <v>0.5667172972475375</v>
      </c>
      <c r="J19" s="19">
        <v>1</v>
      </c>
      <c r="K19" s="19">
        <v>0.5667172972475375</v>
      </c>
      <c r="L19" s="19">
        <v>1</v>
      </c>
      <c r="M19" s="1"/>
    </row>
    <row r="20" spans="2:13" ht="15.75" customHeight="1" x14ac:dyDescent="0.15">
      <c r="B20" s="1"/>
      <c r="C20" s="1"/>
      <c r="D20" s="1" t="s">
        <v>325</v>
      </c>
      <c r="E20" s="19">
        <v>0.59108533371906224</v>
      </c>
      <c r="F20" s="19">
        <v>0.96304814951264717</v>
      </c>
      <c r="G20" s="19">
        <v>0.5667172972475375</v>
      </c>
      <c r="H20" s="19">
        <v>1</v>
      </c>
      <c r="I20" s="19">
        <v>0.5667172972475375</v>
      </c>
      <c r="J20" s="19">
        <v>1</v>
      </c>
      <c r="K20" s="19">
        <v>0.5667172972475375</v>
      </c>
      <c r="L20" s="19">
        <v>1</v>
      </c>
      <c r="M20" s="1"/>
    </row>
    <row r="21" spans="2:13" ht="15.75" customHeight="1" x14ac:dyDescent="0.15">
      <c r="B21" s="1"/>
      <c r="C21" s="1"/>
      <c r="D21" s="1" t="s">
        <v>340</v>
      </c>
      <c r="E21" s="20">
        <v>0.59325483608699281</v>
      </c>
      <c r="F21" s="20">
        <v>0.96180745598730721</v>
      </c>
      <c r="G21" s="20">
        <v>0.5667172972475375</v>
      </c>
      <c r="H21" s="20">
        <v>1</v>
      </c>
      <c r="I21" s="20">
        <v>0.5667172972475375</v>
      </c>
      <c r="J21" s="20">
        <v>1</v>
      </c>
      <c r="K21" s="20">
        <v>0.5667172972475375</v>
      </c>
      <c r="L21" s="20">
        <v>1</v>
      </c>
      <c r="M21" s="1"/>
    </row>
    <row r="22" spans="2:13" ht="15.75" customHeight="1" x14ac:dyDescent="0.15">
      <c r="B22" s="1"/>
      <c r="C22" s="1"/>
      <c r="M22" s="1"/>
    </row>
    <row r="23" spans="2:13" ht="15.75" customHeight="1" x14ac:dyDescent="0.15">
      <c r="D23" s="5" t="s">
        <v>341</v>
      </c>
      <c r="E23" s="5" t="s">
        <v>3</v>
      </c>
      <c r="F23" s="5" t="s">
        <v>4</v>
      </c>
      <c r="G23" s="5" t="s">
        <v>342</v>
      </c>
      <c r="H23" s="1" t="s">
        <v>311</v>
      </c>
      <c r="I23" s="1" t="s">
        <v>306</v>
      </c>
      <c r="J23" s="1" t="s">
        <v>312</v>
      </c>
      <c r="K23" s="1" t="s">
        <v>313</v>
      </c>
      <c r="L23" s="1" t="s">
        <v>343</v>
      </c>
    </row>
    <row r="24" spans="2:13" ht="15.75" customHeight="1" x14ac:dyDescent="0.15">
      <c r="D24" s="5" t="s">
        <v>344</v>
      </c>
      <c r="E24" s="5">
        <v>0.8</v>
      </c>
      <c r="F24" s="5">
        <v>0.15</v>
      </c>
      <c r="G24" s="5">
        <v>0.05</v>
      </c>
      <c r="H24" s="5">
        <f>B5+B6*E24+B7*F24+B12*G24+B9*2</f>
        <v>96.083576950000008</v>
      </c>
      <c r="I24" s="21">
        <f>B5/H24</f>
        <v>7.2239192381565467E-2</v>
      </c>
      <c r="J24" s="21">
        <f>E24*B6/$H24</f>
        <v>0.48868621975256299</v>
      </c>
      <c r="K24" s="21">
        <f>G24*B7/H24</f>
        <v>3.0667675928981949E-2</v>
      </c>
      <c r="L24" s="21">
        <f>G24*B12/H24</f>
        <v>1.4040661191267194E-2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Fig. 1 - Material Supply Chain </vt:lpstr>
      <vt:lpstr>Fig 4(a-d) - LFP-Li</vt:lpstr>
      <vt:lpstr>Fig 4(e-g) - NMC-Li</vt:lpstr>
      <vt:lpstr>Fig D1-2 - NMC-Ni</vt:lpstr>
      <vt:lpstr>Fig D1-3 - NMC-Mn</vt:lpstr>
      <vt:lpstr>Fig D1-1 - NMC-Co</vt:lpstr>
      <vt:lpstr>Chemical Formula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Malunjkar, Pravah P.</cp:lastModifiedBy>
  <dcterms:modified xsi:type="dcterms:W3CDTF">2024-10-30T20:22:07Z</dcterms:modified>
</cp:coreProperties>
</file>