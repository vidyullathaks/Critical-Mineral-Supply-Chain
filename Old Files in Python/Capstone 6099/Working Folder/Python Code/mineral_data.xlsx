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 Kumanduri\Box\EV project\data\"/>
    </mc:Choice>
  </mc:AlternateContent>
  <xr:revisionPtr revIDLastSave="0" documentId="13_ncr:1_{3B2191AA-55FA-4D6E-8B05-F7F8CD4BE031}" xr6:coauthVersionLast="47" xr6:coauthVersionMax="47" xr10:uidLastSave="{00000000-0000-0000-0000-000000000000}"/>
  <bookViews>
    <workbookView xWindow="-98" yWindow="-98" windowWidth="21795" windowHeight="12975" activeTab="3" xr2:uid="{FCB323EA-B644-4026-99B1-019A293B4D67}"/>
  </bookViews>
  <sheets>
    <sheet name="Li" sheetId="1" r:id="rId1"/>
    <sheet name="Ni" sheetId="2" r:id="rId2"/>
    <sheet name="Co" sheetId="3" r:id="rId3"/>
    <sheet name="Mn" sheetId="4" r:id="rId4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2" i="4" l="1"/>
  <c r="N81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7" i="4"/>
  <c r="N56" i="4"/>
  <c r="N55" i="4"/>
  <c r="N54" i="4"/>
  <c r="N53" i="4"/>
  <c r="N51" i="4"/>
  <c r="N50" i="4"/>
  <c r="N49" i="4"/>
  <c r="N48" i="4"/>
  <c r="N46" i="4"/>
  <c r="N45" i="4"/>
  <c r="N44" i="4"/>
  <c r="N43" i="4"/>
  <c r="N42" i="4"/>
  <c r="N41" i="4"/>
  <c r="N40" i="4"/>
  <c r="N39" i="4"/>
  <c r="N38" i="4"/>
  <c r="N37" i="4"/>
  <c r="N35" i="4"/>
  <c r="N34" i="4"/>
  <c r="N33" i="4"/>
  <c r="N32" i="4"/>
  <c r="N31" i="4"/>
  <c r="N30" i="4"/>
  <c r="N29" i="4"/>
  <c r="N28" i="4"/>
  <c r="N27" i="4"/>
  <c r="N26" i="4"/>
  <c r="N24" i="4"/>
  <c r="N23" i="4"/>
  <c r="N22" i="4"/>
  <c r="N21" i="4"/>
  <c r="N20" i="4"/>
  <c r="N18" i="4"/>
  <c r="N17" i="4"/>
  <c r="N16" i="4"/>
  <c r="N15" i="4"/>
  <c r="N14" i="4"/>
  <c r="N13" i="4"/>
  <c r="N11" i="4"/>
  <c r="N10" i="4"/>
  <c r="N9" i="4"/>
  <c r="N8" i="4"/>
  <c r="N6" i="4"/>
  <c r="N5" i="4"/>
  <c r="N4" i="4"/>
  <c r="N3" i="4"/>
  <c r="N73" i="3"/>
  <c r="N71" i="3"/>
  <c r="N69" i="3"/>
  <c r="N67" i="3"/>
  <c r="N66" i="3"/>
  <c r="N64" i="3"/>
  <c r="N62" i="3"/>
  <c r="N60" i="3"/>
  <c r="N58" i="3"/>
  <c r="N56" i="3"/>
  <c r="N54" i="3"/>
  <c r="N51" i="3"/>
  <c r="N47" i="3"/>
  <c r="N45" i="3"/>
  <c r="N43" i="3"/>
  <c r="N41" i="3"/>
  <c r="N40" i="3"/>
  <c r="N38" i="3"/>
  <c r="N36" i="3"/>
  <c r="N34" i="3"/>
  <c r="N32" i="3"/>
  <c r="N30" i="3"/>
  <c r="N26" i="3"/>
  <c r="N25" i="3"/>
  <c r="N23" i="3"/>
  <c r="N21" i="3"/>
  <c r="N19" i="3"/>
  <c r="N17" i="3"/>
  <c r="N16" i="3"/>
  <c r="N14" i="3"/>
  <c r="N12" i="3"/>
  <c r="N10" i="3"/>
  <c r="N8" i="3"/>
  <c r="N63" i="2"/>
  <c r="N62" i="2"/>
  <c r="N61" i="2"/>
  <c r="N60" i="2"/>
  <c r="N59" i="2"/>
  <c r="N58" i="2"/>
  <c r="N57" i="2"/>
  <c r="N54" i="2"/>
  <c r="N53" i="2"/>
  <c r="N52" i="2"/>
  <c r="N51" i="2"/>
  <c r="N50" i="2"/>
  <c r="N49" i="2"/>
  <c r="N48" i="2"/>
  <c r="N47" i="2"/>
  <c r="N46" i="2"/>
  <c r="N44" i="2"/>
  <c r="N43" i="2"/>
  <c r="N42" i="2"/>
  <c r="N40" i="2"/>
  <c r="N39" i="2"/>
  <c r="N38" i="2"/>
  <c r="N36" i="2"/>
  <c r="N35" i="2"/>
  <c r="N34" i="2"/>
  <c r="N33" i="2"/>
  <c r="N32" i="2"/>
  <c r="N31" i="2"/>
  <c r="N30" i="2"/>
  <c r="N29" i="2"/>
  <c r="N28" i="2"/>
  <c r="N27" i="2"/>
  <c r="N25" i="2"/>
  <c r="N23" i="2"/>
  <c r="N22" i="2"/>
  <c r="N21" i="2"/>
  <c r="N19" i="2"/>
  <c r="N18" i="2"/>
  <c r="N17" i="2"/>
  <c r="N15" i="2"/>
  <c r="N14" i="2"/>
  <c r="N13" i="2"/>
  <c r="N12" i="2"/>
  <c r="N11" i="2"/>
  <c r="N10" i="2"/>
  <c r="N8" i="2"/>
  <c r="N7" i="2"/>
  <c r="N6" i="2"/>
  <c r="N5" i="2"/>
  <c r="N4" i="2"/>
  <c r="N3" i="2"/>
  <c r="N28" i="1"/>
  <c r="N26" i="1"/>
  <c r="N25" i="1"/>
  <c r="N23" i="1"/>
  <c r="N21" i="1"/>
  <c r="N18" i="1"/>
  <c r="N16" i="1"/>
  <c r="N15" i="1"/>
  <c r="N13" i="1"/>
  <c r="N11" i="1"/>
  <c r="N8" i="1"/>
  <c r="N6" i="1"/>
</calcChain>
</file>

<file path=xl/sharedStrings.xml><?xml version="1.0" encoding="utf-8"?>
<sst xmlns="http://schemas.openxmlformats.org/spreadsheetml/2006/main" count="2752" uniqueCount="192">
  <si>
    <t>from_location1</t>
  </si>
  <si>
    <t>from_location2</t>
  </si>
  <si>
    <t>distance_1</t>
  </si>
  <si>
    <t>to_location1</t>
  </si>
  <si>
    <t>to_location2</t>
  </si>
  <si>
    <t>distance_2</t>
  </si>
  <si>
    <t>From</t>
  </si>
  <si>
    <t>To</t>
  </si>
  <si>
    <t>flow_stage_from</t>
  </si>
  <si>
    <t>flow_stage_to</t>
  </si>
  <si>
    <t>NA</t>
  </si>
  <si>
    <t>Sichuan</t>
  </si>
  <si>
    <t>LG Chem refinery</t>
  </si>
  <si>
    <t>China</t>
  </si>
  <si>
    <t>refining</t>
  </si>
  <si>
    <t>Greenbushes mine</t>
  </si>
  <si>
    <t>port of perth</t>
  </si>
  <si>
    <t>port of shanghai</t>
  </si>
  <si>
    <t>LG Chem</t>
  </si>
  <si>
    <t>Australia</t>
  </si>
  <si>
    <t>manufacturing</t>
  </si>
  <si>
    <t>proxy</t>
  </si>
  <si>
    <t>Chile</t>
  </si>
  <si>
    <t>Atacama Salt Flat</t>
  </si>
  <si>
    <t>port of San Antonio</t>
  </si>
  <si>
    <t>Salar de Olaroz</t>
  </si>
  <si>
    <t>refinery in Rio Tinto, Eramet</t>
  </si>
  <si>
    <t>Argentina</t>
  </si>
  <si>
    <t>Refinery in Rio Tinto</t>
  </si>
  <si>
    <t>port of Antofagasta</t>
  </si>
  <si>
    <t>Japan</t>
  </si>
  <si>
    <t>United States</t>
  </si>
  <si>
    <t>Albemarle Silver Peak Mine</t>
  </si>
  <si>
    <t>refinery in Nevada</t>
  </si>
  <si>
    <t>port of NY &amp; NJ</t>
  </si>
  <si>
    <t>South Korea</t>
  </si>
  <si>
    <t>Mineral</t>
  </si>
  <si>
    <t>Li</t>
  </si>
  <si>
    <t>truck</t>
  </si>
  <si>
    <t>mine in Jinchang, Gansu</t>
  </si>
  <si>
    <t>Nickel Mining Company - NOUMEA</t>
  </si>
  <si>
    <t>Port Autonome de Nouméa</t>
  </si>
  <si>
    <t>Philippines</t>
  </si>
  <si>
    <t>Ravensthorpe Nickel Mine</t>
  </si>
  <si>
    <t>Port Albany</t>
  </si>
  <si>
    <t>Anglo American Níquel - Codemin</t>
  </si>
  <si>
    <t>Porto de Belém</t>
  </si>
  <si>
    <t>Brazil</t>
  </si>
  <si>
    <t>rail</t>
  </si>
  <si>
    <t>NewCaledonia</t>
  </si>
  <si>
    <t>Flaat nickel mine</t>
  </si>
  <si>
    <t>Glencore Nikkelverk AS refinery</t>
  </si>
  <si>
    <t>Norway</t>
  </si>
  <si>
    <t>Glencore Nikkelverk AS</t>
  </si>
  <si>
    <t>port of Oslo</t>
  </si>
  <si>
    <t>Taivaljärven kaivos</t>
  </si>
  <si>
    <t>port of Helsinki</t>
  </si>
  <si>
    <t>Canada</t>
  </si>
  <si>
    <t>Finland</t>
  </si>
  <si>
    <t>Clydach Nickel Refinery</t>
  </si>
  <si>
    <t>CNM Ltd</t>
  </si>
  <si>
    <t>United Kingdom</t>
  </si>
  <si>
    <t>Port of Milford Haven</t>
  </si>
  <si>
    <t>Vale Clydach Refinery</t>
  </si>
  <si>
    <t>Nkomati Nickel Mine</t>
  </si>
  <si>
    <t>Durban Port</t>
  </si>
  <si>
    <t>South Africa</t>
  </si>
  <si>
    <t>France</t>
  </si>
  <si>
    <t>Indonesia</t>
  </si>
  <si>
    <t>Russia</t>
  </si>
  <si>
    <t>transport_type_1</t>
  </si>
  <si>
    <t>transport_type_2</t>
  </si>
  <si>
    <t xml:space="preserve">Jinchuan Group Co.,Ltd. </t>
  </si>
  <si>
    <t>Ni</t>
  </si>
  <si>
    <t>Co</t>
  </si>
  <si>
    <t>DRC</t>
  </si>
  <si>
    <t>Belgium</t>
  </si>
  <si>
    <t>Madagascar</t>
  </si>
  <si>
    <t>Morocco</t>
  </si>
  <si>
    <t>Zambia</t>
  </si>
  <si>
    <t>India</t>
  </si>
  <si>
    <t>Quzhou Huayou Cobalt New Material Co.</t>
  </si>
  <si>
    <t>Jiangsi Cobalt Nickel Metal</t>
  </si>
  <si>
    <t xml:space="preserve">Port of Shanghai </t>
  </si>
  <si>
    <t xml:space="preserve">Tongxiang cobalt refinary </t>
  </si>
  <si>
    <t>Tenke Fungurume Mines</t>
  </si>
  <si>
    <t>Gecamines</t>
  </si>
  <si>
    <t xml:space="preserve">Murrin Murrin Mines </t>
  </si>
  <si>
    <t>Minara Resources</t>
  </si>
  <si>
    <t>Co mine in Olen</t>
  </si>
  <si>
    <t>Umicore Reninery</t>
  </si>
  <si>
    <t>Newfoundland and Labrador mine</t>
  </si>
  <si>
    <t xml:space="preserve">Electra Battery Materials refinery </t>
  </si>
  <si>
    <t>Talvivaara mines</t>
  </si>
  <si>
    <t>Freeport Cobalt refinery</t>
  </si>
  <si>
    <t>refinery at mining site</t>
  </si>
  <si>
    <t xml:space="preserve">Bou Azzer Mine </t>
  </si>
  <si>
    <t>Tangier port</t>
  </si>
  <si>
    <t>Nkomati mine</t>
  </si>
  <si>
    <t>Anglo Platinum Refinery</t>
  </si>
  <si>
    <t>Murrin Murrin Mines</t>
  </si>
  <si>
    <t> Minara Resources</t>
  </si>
  <si>
    <t>Electra Battery Materials refinery </t>
  </si>
  <si>
    <t>Odisha</t>
  </si>
  <si>
    <t>refinery in Gujrat</t>
  </si>
  <si>
    <t>Bou Azzer Mine</t>
  </si>
  <si>
    <t>Blaafarveværket mine</t>
  </si>
  <si>
    <t>Nikkelverk refinery</t>
  </si>
  <si>
    <t xml:space="preserve">Co mine in Olen </t>
  </si>
  <si>
    <t xml:space="preserve">Newfoundland and Labrador mine </t>
  </si>
  <si>
    <t>Tenke Fungurume Mine</t>
  </si>
  <si>
    <t>Dar es Salaam, Tanzania port</t>
  </si>
  <si>
    <t xml:space="preserve">Minara Resources </t>
  </si>
  <si>
    <t>Fremantle Harbour</t>
  </si>
  <si>
    <t>Unicore refinery</t>
  </si>
  <si>
    <t>port of antwerp</t>
  </si>
  <si>
    <t xml:space="preserve">Port of Toronto </t>
  </si>
  <si>
    <t>Port of Haukipudas</t>
  </si>
  <si>
    <t>Freeport Cobalt Refinery</t>
  </si>
  <si>
    <t>Tamatave port</t>
  </si>
  <si>
    <t>Ambatovy refinery</t>
  </si>
  <si>
    <t>port of durban</t>
  </si>
  <si>
    <t xml:space="preserve">Chambishi refinery </t>
  </si>
  <si>
    <t xml:space="preserve">Port of Durban in SA </t>
  </si>
  <si>
    <t>Unicore refinery </t>
  </si>
  <si>
    <t>Port of Toronto</t>
  </si>
  <si>
    <t>Haldia port in West Bengal</t>
  </si>
  <si>
    <t xml:space="preserve">Tamatave port </t>
  </si>
  <si>
    <t>port of olso</t>
  </si>
  <si>
    <t xml:space="preserve">port of durban </t>
  </si>
  <si>
    <t xml:space="preserve">Unicore refinery </t>
  </si>
  <si>
    <t xml:space="preserve"> Electra Battery Materials refinery</t>
  </si>
  <si>
    <t xml:space="preserve">Tenke Fungurume Mine </t>
  </si>
  <si>
    <t xml:space="preserve"> Anglo Pltinun refinery</t>
  </si>
  <si>
    <t>sea_distance_km</t>
  </si>
  <si>
    <t>Daxin Manganese Mine, Guangxi</t>
  </si>
  <si>
    <t>Woodie Woodie Mine</t>
  </si>
  <si>
    <t>Azul Mine, north of Para, Brazil</t>
  </si>
  <si>
    <t>Mine in Moanda, Gabon</t>
  </si>
  <si>
    <t>Nsuta-Tarkwa manganese mine</t>
  </si>
  <si>
    <t>China-Europe Railway Express - Karaganda</t>
  </si>
  <si>
    <t>Bukit Penchuri, Kelantan</t>
  </si>
  <si>
    <t>Molango mine in Hidalgo</t>
  </si>
  <si>
    <t>Hopong Manganese Mine, Taunggyi, Myanmar</t>
  </si>
  <si>
    <t>Kalahari Basin</t>
  </si>
  <si>
    <t>Guangxi Qinzhou Port</t>
  </si>
  <si>
    <t>Nikopol Manganese Basin</t>
  </si>
  <si>
    <t>Nevada</t>
  </si>
  <si>
    <t>Refinery in Southern China</t>
  </si>
  <si>
    <t>Wafangzi mine, Inner Mongolia</t>
  </si>
  <si>
    <t>Anan, Tokushima</t>
  </si>
  <si>
    <t>Nagpur, Maharashtra</t>
  </si>
  <si>
    <t xml:space="preserve"> Cerro Matoso</t>
  </si>
  <si>
    <t>CITIC Dameng Holdings Ltd Refinery, Hong Kong</t>
  </si>
  <si>
    <t>Port Hedland</t>
  </si>
  <si>
    <t>Porto do Itaqui, São Luís - MA, Brazil</t>
  </si>
  <si>
    <t>Owendo Bulk Port</t>
  </si>
  <si>
    <t>Port terminal at Takoradi</t>
  </si>
  <si>
    <t>Altynkol (Kazakhstan-China Border)</t>
  </si>
  <si>
    <t>Kuantan Port</t>
  </si>
  <si>
    <t>Minera Autlan</t>
  </si>
  <si>
    <t>Kyaukphyu Deep Sea Port</t>
  </si>
  <si>
    <t>Port of Saldanha</t>
  </si>
  <si>
    <t xml:space="preserve">EVE Energy, Huizhou, Guangdong </t>
  </si>
  <si>
    <t>Zaporizhzhia river port</t>
  </si>
  <si>
    <t xml:space="preserve">Port of Los Angeles </t>
  </si>
  <si>
    <t>Port of Shanghai</t>
  </si>
  <si>
    <t>Kandla, Gujarat</t>
  </si>
  <si>
    <t>Nissan Motorsports &amp; Customizing Co., Ltd, Chigasaki</t>
  </si>
  <si>
    <t>Cartagena Port</t>
  </si>
  <si>
    <t>Port of Nagoya</t>
  </si>
  <si>
    <t>Khorgos</t>
  </si>
  <si>
    <t>Port of NY and NJ</t>
  </si>
  <si>
    <t xml:space="preserve">Port of Huston </t>
  </si>
  <si>
    <t>Port of Savannah</t>
  </si>
  <si>
    <t>Port Bussan</t>
  </si>
  <si>
    <t>Shanghai</t>
  </si>
  <si>
    <t>Michigan</t>
  </si>
  <si>
    <t>Louisiana</t>
  </si>
  <si>
    <t>Missouri</t>
  </si>
  <si>
    <t>Stella 2, Eumseong Innovation City, Chungcheongbuk-do Province</t>
  </si>
  <si>
    <t>Gabon</t>
  </si>
  <si>
    <t>Ghana</t>
  </si>
  <si>
    <t>Kazakhstan</t>
  </si>
  <si>
    <t>Malaysia</t>
  </si>
  <si>
    <t>Mexico</t>
  </si>
  <si>
    <t>Myanmar</t>
  </si>
  <si>
    <t>Ukraine</t>
  </si>
  <si>
    <t>Colombia</t>
  </si>
  <si>
    <t>Mn</t>
  </si>
  <si>
    <t>Chain</t>
  </si>
  <si>
    <t>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</si>
</sst>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3CDD-33DB-43BF-88F6-0C39C88DA6A3}">
  <dimension ref="A1:O28"/>
  <sheetViews>
    <sheetView topLeftCell="F14" workbookViewId="0">
      <selection activeCell="F41" sqref="F41"/>
    </sheetView>
  </sheetViews>
  <sheetFormatPr defaultRowHeight="14.25" x14ac:dyDescent="0.45"/>
  <cols>
    <col min="1" max="1" width="23" customWidth="1"/>
    <col min="2" max="2" width="18.1328125" customWidth="1"/>
    <col min="3" max="3" width="15.59765625" customWidth="1"/>
    <col min="4" max="4" width="19.73046875" customWidth="1"/>
    <col min="5" max="5" width="26.1328125" customWidth="1"/>
    <col min="6" max="6" width="31.73046875" customWidth="1"/>
    <col min="7" max="7" width="14.73046875" customWidth="1"/>
    <col min="8" max="8" width="18" customWidth="1"/>
    <col min="9" max="9" width="16.3984375" customWidth="1"/>
    <col min="10" max="10" width="15.265625" customWidth="1"/>
    <col min="11" max="11" width="24" customWidth="1"/>
    <col min="12" max="12" width="21.265625" customWidth="1"/>
    <col min="14" max="14" width="17.3984375" customWidth="1"/>
  </cols>
  <sheetData>
    <row r="1" spans="1:15" s="1" customFormat="1" x14ac:dyDescent="0.4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71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36</v>
      </c>
      <c r="N1" s="1" t="s">
        <v>134</v>
      </c>
      <c r="O1" s="1" t="s">
        <v>190</v>
      </c>
    </row>
    <row r="2" spans="1:15" x14ac:dyDescent="0.45">
      <c r="A2" t="s">
        <v>10</v>
      </c>
      <c r="B2" t="s">
        <v>10</v>
      </c>
      <c r="C2" t="s">
        <v>10</v>
      </c>
      <c r="D2" t="s">
        <v>38</v>
      </c>
      <c r="E2" t="s">
        <v>11</v>
      </c>
      <c r="F2" t="s">
        <v>12</v>
      </c>
      <c r="G2">
        <v>1689</v>
      </c>
      <c r="H2" t="s">
        <v>38</v>
      </c>
      <c r="I2" t="s">
        <v>13</v>
      </c>
      <c r="J2" t="s">
        <v>13</v>
      </c>
      <c r="K2" t="s">
        <v>191</v>
      </c>
      <c r="L2" t="s">
        <v>14</v>
      </c>
      <c r="M2" t="s">
        <v>37</v>
      </c>
      <c r="O2">
        <v>15</v>
      </c>
    </row>
    <row r="3" spans="1:15" x14ac:dyDescent="0.45">
      <c r="A3" t="s">
        <v>15</v>
      </c>
      <c r="B3" t="s">
        <v>16</v>
      </c>
      <c r="C3">
        <v>269</v>
      </c>
      <c r="D3" t="s">
        <v>38</v>
      </c>
      <c r="E3" t="s">
        <v>17</v>
      </c>
      <c r="F3" t="s">
        <v>18</v>
      </c>
      <c r="G3">
        <v>403</v>
      </c>
      <c r="H3" t="s">
        <v>38</v>
      </c>
      <c r="I3" t="s">
        <v>19</v>
      </c>
      <c r="J3" t="s">
        <v>13</v>
      </c>
      <c r="K3" t="s">
        <v>191</v>
      </c>
      <c r="L3" t="s">
        <v>14</v>
      </c>
      <c r="M3" t="s">
        <v>37</v>
      </c>
      <c r="N3">
        <v>7257.99</v>
      </c>
      <c r="O3">
        <v>16</v>
      </c>
    </row>
    <row r="4" spans="1:15" x14ac:dyDescent="0.45">
      <c r="A4" t="s">
        <v>10</v>
      </c>
      <c r="B4" t="s">
        <v>10</v>
      </c>
      <c r="C4" t="s">
        <v>10</v>
      </c>
      <c r="D4" t="s">
        <v>38</v>
      </c>
      <c r="E4" t="s">
        <v>11</v>
      </c>
      <c r="F4" t="s">
        <v>12</v>
      </c>
      <c r="G4">
        <v>1689</v>
      </c>
      <c r="H4" t="s">
        <v>38</v>
      </c>
      <c r="I4" t="s">
        <v>13</v>
      </c>
      <c r="J4" t="s">
        <v>13</v>
      </c>
      <c r="K4" t="s">
        <v>14</v>
      </c>
      <c r="L4" t="s">
        <v>20</v>
      </c>
      <c r="M4" t="s">
        <v>37</v>
      </c>
      <c r="O4">
        <v>4</v>
      </c>
    </row>
    <row r="5" spans="1:15" x14ac:dyDescent="0.45">
      <c r="A5" t="s">
        <v>10</v>
      </c>
      <c r="B5" t="s">
        <v>10</v>
      </c>
      <c r="C5" t="s">
        <v>10</v>
      </c>
      <c r="D5" t="s">
        <v>38</v>
      </c>
      <c r="E5" t="s">
        <v>21</v>
      </c>
      <c r="F5" t="s">
        <v>10</v>
      </c>
      <c r="G5">
        <v>50</v>
      </c>
      <c r="H5" t="s">
        <v>38</v>
      </c>
      <c r="I5" t="s">
        <v>22</v>
      </c>
      <c r="J5" t="s">
        <v>22</v>
      </c>
      <c r="K5" t="s">
        <v>191</v>
      </c>
      <c r="L5" t="s">
        <v>14</v>
      </c>
      <c r="M5" t="s">
        <v>37</v>
      </c>
      <c r="O5">
        <v>17</v>
      </c>
    </row>
    <row r="6" spans="1:15" x14ac:dyDescent="0.45">
      <c r="A6" t="s">
        <v>23</v>
      </c>
      <c r="B6" t="s">
        <v>24</v>
      </c>
      <c r="C6">
        <v>1165</v>
      </c>
      <c r="D6" t="s">
        <v>38</v>
      </c>
      <c r="E6" t="s">
        <v>17</v>
      </c>
      <c r="F6" t="s">
        <v>18</v>
      </c>
      <c r="G6">
        <v>403</v>
      </c>
      <c r="H6" t="s">
        <v>38</v>
      </c>
      <c r="I6" t="s">
        <v>22</v>
      </c>
      <c r="J6" t="s">
        <v>13</v>
      </c>
      <c r="K6" t="s">
        <v>14</v>
      </c>
      <c r="L6" t="s">
        <v>20</v>
      </c>
      <c r="M6" t="s">
        <v>37</v>
      </c>
      <c r="N6">
        <f>10085*1.852</f>
        <v>18677.420000000002</v>
      </c>
      <c r="O6">
        <v>5</v>
      </c>
    </row>
    <row r="7" spans="1:15" x14ac:dyDescent="0.45">
      <c r="A7" t="s">
        <v>10</v>
      </c>
      <c r="B7" t="s">
        <v>10</v>
      </c>
      <c r="C7" t="s">
        <v>10</v>
      </c>
      <c r="D7" t="s">
        <v>38</v>
      </c>
      <c r="E7" t="s">
        <v>25</v>
      </c>
      <c r="F7" t="s">
        <v>26</v>
      </c>
      <c r="G7">
        <v>107</v>
      </c>
      <c r="H7" t="s">
        <v>38</v>
      </c>
      <c r="I7" t="s">
        <v>27</v>
      </c>
      <c r="J7" t="s">
        <v>27</v>
      </c>
      <c r="K7" t="s">
        <v>191</v>
      </c>
      <c r="L7" t="s">
        <v>14</v>
      </c>
      <c r="M7" t="s">
        <v>37</v>
      </c>
      <c r="O7">
        <v>18</v>
      </c>
    </row>
    <row r="8" spans="1:15" x14ac:dyDescent="0.45">
      <c r="A8" t="s">
        <v>28</v>
      </c>
      <c r="B8" t="s">
        <v>29</v>
      </c>
      <c r="C8">
        <v>755</v>
      </c>
      <c r="D8" t="s">
        <v>38</v>
      </c>
      <c r="E8" t="s">
        <v>17</v>
      </c>
      <c r="F8" t="s">
        <v>18</v>
      </c>
      <c r="G8">
        <v>403</v>
      </c>
      <c r="H8" t="s">
        <v>38</v>
      </c>
      <c r="I8" t="s">
        <v>27</v>
      </c>
      <c r="J8" t="s">
        <v>13</v>
      </c>
      <c r="K8" t="s">
        <v>14</v>
      </c>
      <c r="L8" t="s">
        <v>20</v>
      </c>
      <c r="M8" t="s">
        <v>37</v>
      </c>
      <c r="N8">
        <f>10735*1.852</f>
        <v>19881.22</v>
      </c>
      <c r="O8">
        <v>6</v>
      </c>
    </row>
    <row r="9" spans="1:15" x14ac:dyDescent="0.45">
      <c r="A9" t="s">
        <v>10</v>
      </c>
      <c r="B9" t="s">
        <v>10</v>
      </c>
      <c r="C9" t="s">
        <v>10</v>
      </c>
      <c r="D9" t="s">
        <v>38</v>
      </c>
      <c r="E9" t="s">
        <v>11</v>
      </c>
      <c r="F9" t="s">
        <v>12</v>
      </c>
      <c r="G9">
        <v>1689</v>
      </c>
      <c r="H9" t="s">
        <v>38</v>
      </c>
      <c r="I9" t="s">
        <v>13</v>
      </c>
      <c r="J9" t="s">
        <v>13</v>
      </c>
      <c r="K9" t="s">
        <v>191</v>
      </c>
      <c r="L9" t="s">
        <v>14</v>
      </c>
      <c r="M9" t="s">
        <v>37</v>
      </c>
      <c r="O9">
        <v>19</v>
      </c>
    </row>
    <row r="10" spans="1:15" x14ac:dyDescent="0.45">
      <c r="A10" t="s">
        <v>15</v>
      </c>
      <c r="B10" t="s">
        <v>16</v>
      </c>
      <c r="C10">
        <v>269</v>
      </c>
      <c r="D10" t="s">
        <v>38</v>
      </c>
      <c r="E10" t="s">
        <v>17</v>
      </c>
      <c r="F10" t="s">
        <v>18</v>
      </c>
      <c r="G10">
        <v>403</v>
      </c>
      <c r="H10" t="s">
        <v>38</v>
      </c>
      <c r="I10" t="s">
        <v>19</v>
      </c>
      <c r="J10" t="s">
        <v>13</v>
      </c>
      <c r="K10" t="s">
        <v>191</v>
      </c>
      <c r="L10" t="s">
        <v>14</v>
      </c>
      <c r="M10" t="s">
        <v>37</v>
      </c>
      <c r="N10">
        <v>7257.99</v>
      </c>
      <c r="O10">
        <v>20</v>
      </c>
    </row>
    <row r="11" spans="1:15" x14ac:dyDescent="0.45">
      <c r="A11" t="s">
        <v>18</v>
      </c>
      <c r="B11" t="s">
        <v>17</v>
      </c>
      <c r="C11">
        <v>403</v>
      </c>
      <c r="D11" t="s">
        <v>38</v>
      </c>
      <c r="E11" t="s">
        <v>21</v>
      </c>
      <c r="F11" t="s">
        <v>10</v>
      </c>
      <c r="G11">
        <v>200</v>
      </c>
      <c r="H11" t="s">
        <v>38</v>
      </c>
      <c r="I11" t="s">
        <v>13</v>
      </c>
      <c r="J11" t="s">
        <v>30</v>
      </c>
      <c r="K11" t="s">
        <v>14</v>
      </c>
      <c r="L11" t="s">
        <v>20</v>
      </c>
      <c r="M11" t="s">
        <v>37</v>
      </c>
      <c r="N11">
        <f>761*1.852</f>
        <v>1409.3720000000001</v>
      </c>
      <c r="O11">
        <v>7</v>
      </c>
    </row>
    <row r="12" spans="1:15" x14ac:dyDescent="0.45">
      <c r="A12" t="s">
        <v>10</v>
      </c>
      <c r="B12" t="s">
        <v>10</v>
      </c>
      <c r="C12" t="s">
        <v>10</v>
      </c>
      <c r="D12" t="s">
        <v>38</v>
      </c>
      <c r="E12" t="s">
        <v>21</v>
      </c>
      <c r="F12" t="s">
        <v>10</v>
      </c>
      <c r="G12">
        <v>50</v>
      </c>
      <c r="H12" t="s">
        <v>38</v>
      </c>
      <c r="I12" t="s">
        <v>22</v>
      </c>
      <c r="J12" t="s">
        <v>22</v>
      </c>
      <c r="K12" t="s">
        <v>191</v>
      </c>
      <c r="L12" t="s">
        <v>14</v>
      </c>
      <c r="M12" t="s">
        <v>37</v>
      </c>
      <c r="O12">
        <v>21</v>
      </c>
    </row>
    <row r="13" spans="1:15" x14ac:dyDescent="0.45">
      <c r="A13" t="s">
        <v>24</v>
      </c>
      <c r="B13" t="s">
        <v>23</v>
      </c>
      <c r="C13">
        <v>1165</v>
      </c>
      <c r="D13" t="s">
        <v>38</v>
      </c>
      <c r="E13" t="s">
        <v>21</v>
      </c>
      <c r="F13" t="s">
        <v>10</v>
      </c>
      <c r="G13">
        <v>200</v>
      </c>
      <c r="H13" t="s">
        <v>38</v>
      </c>
      <c r="I13" t="s">
        <v>22</v>
      </c>
      <c r="J13" t="s">
        <v>30</v>
      </c>
      <c r="K13" t="s">
        <v>14</v>
      </c>
      <c r="L13" t="s">
        <v>20</v>
      </c>
      <c r="M13" t="s">
        <v>37</v>
      </c>
      <c r="N13">
        <f>9475*1.852</f>
        <v>17547.7</v>
      </c>
      <c r="O13">
        <v>8</v>
      </c>
    </row>
    <row r="14" spans="1:15" x14ac:dyDescent="0.45">
      <c r="A14" t="s">
        <v>10</v>
      </c>
      <c r="B14" t="s">
        <v>10</v>
      </c>
      <c r="C14" t="s">
        <v>10</v>
      </c>
      <c r="D14" t="s">
        <v>38</v>
      </c>
      <c r="E14" t="s">
        <v>25</v>
      </c>
      <c r="F14" t="s">
        <v>26</v>
      </c>
      <c r="G14">
        <v>107</v>
      </c>
      <c r="H14" t="s">
        <v>38</v>
      </c>
      <c r="I14" t="s">
        <v>27</v>
      </c>
      <c r="J14" t="s">
        <v>27</v>
      </c>
      <c r="K14" t="s">
        <v>191</v>
      </c>
      <c r="L14" t="s">
        <v>14</v>
      </c>
      <c r="M14" t="s">
        <v>37</v>
      </c>
      <c r="O14">
        <v>22</v>
      </c>
    </row>
    <row r="15" spans="1:15" x14ac:dyDescent="0.45">
      <c r="A15" t="s">
        <v>28</v>
      </c>
      <c r="B15" t="s">
        <v>29</v>
      </c>
      <c r="C15">
        <v>403</v>
      </c>
      <c r="D15" t="s">
        <v>38</v>
      </c>
      <c r="E15" t="s">
        <v>21</v>
      </c>
      <c r="F15" t="s">
        <v>10</v>
      </c>
      <c r="G15">
        <v>200</v>
      </c>
      <c r="H15" t="s">
        <v>38</v>
      </c>
      <c r="I15" t="s">
        <v>27</v>
      </c>
      <c r="J15" t="s">
        <v>30</v>
      </c>
      <c r="K15" t="s">
        <v>14</v>
      </c>
      <c r="L15" t="s">
        <v>20</v>
      </c>
      <c r="M15" t="s">
        <v>37</v>
      </c>
      <c r="N15">
        <f>10385*1.852</f>
        <v>19233.02</v>
      </c>
      <c r="O15">
        <v>9</v>
      </c>
    </row>
    <row r="16" spans="1:15" x14ac:dyDescent="0.45">
      <c r="A16" t="s">
        <v>15</v>
      </c>
      <c r="B16" t="s">
        <v>16</v>
      </c>
      <c r="C16">
        <v>269</v>
      </c>
      <c r="D16" t="s">
        <v>38</v>
      </c>
      <c r="E16" t="s">
        <v>10</v>
      </c>
      <c r="F16" t="s">
        <v>10</v>
      </c>
      <c r="G16" t="s">
        <v>10</v>
      </c>
      <c r="H16" t="s">
        <v>38</v>
      </c>
      <c r="I16" t="s">
        <v>19</v>
      </c>
      <c r="J16" t="s">
        <v>31</v>
      </c>
      <c r="K16" t="s">
        <v>191</v>
      </c>
      <c r="L16" t="s">
        <v>14</v>
      </c>
      <c r="M16" t="s">
        <v>37</v>
      </c>
      <c r="N16">
        <f>6552*1.852</f>
        <v>12134.304</v>
      </c>
      <c r="O16">
        <v>23</v>
      </c>
    </row>
    <row r="17" spans="1:15" x14ac:dyDescent="0.45">
      <c r="A17" t="s">
        <v>10</v>
      </c>
      <c r="B17" t="s">
        <v>10</v>
      </c>
      <c r="C17" t="s">
        <v>10</v>
      </c>
      <c r="D17" t="s">
        <v>38</v>
      </c>
      <c r="E17" t="s">
        <v>32</v>
      </c>
      <c r="F17" t="s">
        <v>33</v>
      </c>
      <c r="G17">
        <v>250</v>
      </c>
      <c r="H17" t="s">
        <v>38</v>
      </c>
      <c r="I17" t="s">
        <v>31</v>
      </c>
      <c r="J17" t="s">
        <v>31</v>
      </c>
      <c r="K17" t="s">
        <v>191</v>
      </c>
      <c r="L17" t="s">
        <v>14</v>
      </c>
      <c r="M17" t="s">
        <v>37</v>
      </c>
      <c r="O17">
        <v>24</v>
      </c>
    </row>
    <row r="18" spans="1:15" x14ac:dyDescent="0.45">
      <c r="A18" t="s">
        <v>34</v>
      </c>
      <c r="B18" t="s">
        <v>10</v>
      </c>
      <c r="C18">
        <v>1000</v>
      </c>
      <c r="D18" t="s">
        <v>38</v>
      </c>
      <c r="E18" t="s">
        <v>21</v>
      </c>
      <c r="F18" t="s">
        <v>10</v>
      </c>
      <c r="G18">
        <v>200</v>
      </c>
      <c r="H18" t="s">
        <v>38</v>
      </c>
      <c r="I18" t="s">
        <v>31</v>
      </c>
      <c r="J18" t="s">
        <v>30</v>
      </c>
      <c r="K18" t="s">
        <v>14</v>
      </c>
      <c r="L18" t="s">
        <v>20</v>
      </c>
      <c r="M18" t="s">
        <v>37</v>
      </c>
      <c r="N18">
        <f>4507*1.852</f>
        <v>8346.9639999999999</v>
      </c>
      <c r="O18">
        <v>10</v>
      </c>
    </row>
    <row r="19" spans="1:15" x14ac:dyDescent="0.45">
      <c r="A19" t="s">
        <v>10</v>
      </c>
      <c r="B19" t="s">
        <v>10</v>
      </c>
      <c r="C19" t="s">
        <v>10</v>
      </c>
      <c r="D19" t="s">
        <v>38</v>
      </c>
      <c r="E19" t="s">
        <v>11</v>
      </c>
      <c r="F19" t="s">
        <v>12</v>
      </c>
      <c r="G19">
        <v>1689</v>
      </c>
      <c r="H19" t="s">
        <v>38</v>
      </c>
      <c r="I19" t="s">
        <v>13</v>
      </c>
      <c r="J19" t="s">
        <v>13</v>
      </c>
      <c r="K19" t="s">
        <v>191</v>
      </c>
      <c r="L19" t="s">
        <v>14</v>
      </c>
      <c r="M19" t="s">
        <v>37</v>
      </c>
      <c r="O19">
        <v>25</v>
      </c>
    </row>
    <row r="20" spans="1:15" x14ac:dyDescent="0.45">
      <c r="A20" t="s">
        <v>15</v>
      </c>
      <c r="B20" t="s">
        <v>16</v>
      </c>
      <c r="C20">
        <v>269</v>
      </c>
      <c r="D20" t="s">
        <v>38</v>
      </c>
      <c r="E20" t="s">
        <v>17</v>
      </c>
      <c r="F20" t="s">
        <v>18</v>
      </c>
      <c r="G20">
        <v>403</v>
      </c>
      <c r="H20" t="s">
        <v>38</v>
      </c>
      <c r="I20" t="s">
        <v>19</v>
      </c>
      <c r="J20" t="s">
        <v>13</v>
      </c>
      <c r="K20" t="s">
        <v>191</v>
      </c>
      <c r="L20" t="s">
        <v>14</v>
      </c>
      <c r="M20" t="s">
        <v>37</v>
      </c>
      <c r="N20">
        <v>7257.99</v>
      </c>
      <c r="O20">
        <v>26</v>
      </c>
    </row>
    <row r="21" spans="1:15" x14ac:dyDescent="0.45">
      <c r="A21" t="s">
        <v>18</v>
      </c>
      <c r="B21" t="s">
        <v>17</v>
      </c>
      <c r="C21">
        <v>403</v>
      </c>
      <c r="D21" t="s">
        <v>38</v>
      </c>
      <c r="E21" t="s">
        <v>21</v>
      </c>
      <c r="F21" t="s">
        <v>10</v>
      </c>
      <c r="G21">
        <v>200</v>
      </c>
      <c r="H21" t="s">
        <v>38</v>
      </c>
      <c r="I21" t="s">
        <v>13</v>
      </c>
      <c r="J21" t="s">
        <v>35</v>
      </c>
      <c r="K21" t="s">
        <v>14</v>
      </c>
      <c r="L21" t="s">
        <v>20</v>
      </c>
      <c r="M21" t="s">
        <v>37</v>
      </c>
      <c r="N21">
        <f>886*1.952</f>
        <v>1729.472</v>
      </c>
      <c r="O21">
        <v>11</v>
      </c>
    </row>
    <row r="22" spans="1:15" x14ac:dyDescent="0.45">
      <c r="A22" t="s">
        <v>10</v>
      </c>
      <c r="B22" t="s">
        <v>10</v>
      </c>
      <c r="C22" t="s">
        <v>10</v>
      </c>
      <c r="D22" t="s">
        <v>38</v>
      </c>
      <c r="E22" t="s">
        <v>21</v>
      </c>
      <c r="F22" t="s">
        <v>10</v>
      </c>
      <c r="G22">
        <v>50</v>
      </c>
      <c r="H22" t="s">
        <v>38</v>
      </c>
      <c r="I22" t="s">
        <v>22</v>
      </c>
      <c r="J22" t="s">
        <v>22</v>
      </c>
      <c r="K22" t="s">
        <v>191</v>
      </c>
      <c r="L22" t="s">
        <v>14</v>
      </c>
      <c r="M22" t="s">
        <v>37</v>
      </c>
      <c r="O22">
        <v>27</v>
      </c>
    </row>
    <row r="23" spans="1:15" x14ac:dyDescent="0.45">
      <c r="A23" t="s">
        <v>23</v>
      </c>
      <c r="B23" t="s">
        <v>24</v>
      </c>
      <c r="C23">
        <v>1165</v>
      </c>
      <c r="D23" t="s">
        <v>38</v>
      </c>
      <c r="E23" t="s">
        <v>21</v>
      </c>
      <c r="F23" t="s">
        <v>10</v>
      </c>
      <c r="G23">
        <v>200</v>
      </c>
      <c r="H23" t="s">
        <v>38</v>
      </c>
      <c r="I23" t="s">
        <v>22</v>
      </c>
      <c r="J23" t="s">
        <v>35</v>
      </c>
      <c r="K23" t="s">
        <v>14</v>
      </c>
      <c r="L23" t="s">
        <v>20</v>
      </c>
      <c r="M23" t="s">
        <v>37</v>
      </c>
      <c r="N23">
        <f>9598*1.852</f>
        <v>17775.495999999999</v>
      </c>
      <c r="O23">
        <v>12</v>
      </c>
    </row>
    <row r="24" spans="1:15" x14ac:dyDescent="0.45">
      <c r="A24" t="s">
        <v>10</v>
      </c>
      <c r="B24" t="s">
        <v>10</v>
      </c>
      <c r="C24" t="s">
        <v>10</v>
      </c>
      <c r="D24" t="s">
        <v>38</v>
      </c>
      <c r="E24" t="s">
        <v>25</v>
      </c>
      <c r="F24" t="s">
        <v>26</v>
      </c>
      <c r="G24">
        <v>107</v>
      </c>
      <c r="H24" t="s">
        <v>38</v>
      </c>
      <c r="I24" t="s">
        <v>27</v>
      </c>
      <c r="J24" t="s">
        <v>27</v>
      </c>
      <c r="K24" t="s">
        <v>191</v>
      </c>
      <c r="L24" t="s">
        <v>14</v>
      </c>
      <c r="M24" t="s">
        <v>37</v>
      </c>
      <c r="O24">
        <v>28</v>
      </c>
    </row>
    <row r="25" spans="1:15" x14ac:dyDescent="0.45">
      <c r="A25" t="s">
        <v>28</v>
      </c>
      <c r="B25" t="s">
        <v>29</v>
      </c>
      <c r="C25">
        <v>755</v>
      </c>
      <c r="D25" t="s">
        <v>38</v>
      </c>
      <c r="E25" t="s">
        <v>21</v>
      </c>
      <c r="F25" t="s">
        <v>10</v>
      </c>
      <c r="G25">
        <v>200</v>
      </c>
      <c r="H25" t="s">
        <v>38</v>
      </c>
      <c r="I25" t="s">
        <v>27</v>
      </c>
      <c r="J25" t="s">
        <v>35</v>
      </c>
      <c r="K25" t="s">
        <v>14</v>
      </c>
      <c r="L25" t="s">
        <v>20</v>
      </c>
      <c r="M25" t="s">
        <v>37</v>
      </c>
      <c r="N25">
        <f>10634*1.852</f>
        <v>19694.168000000001</v>
      </c>
      <c r="O25">
        <v>13</v>
      </c>
    </row>
    <row r="26" spans="1:15" x14ac:dyDescent="0.45">
      <c r="A26" t="s">
        <v>15</v>
      </c>
      <c r="B26" t="s">
        <v>16</v>
      </c>
      <c r="C26">
        <v>269</v>
      </c>
      <c r="D26" t="s">
        <v>38</v>
      </c>
      <c r="E26" t="s">
        <v>34</v>
      </c>
      <c r="F26" t="s">
        <v>10</v>
      </c>
      <c r="G26">
        <v>1000</v>
      </c>
      <c r="H26" t="s">
        <v>38</v>
      </c>
      <c r="I26" t="s">
        <v>19</v>
      </c>
      <c r="J26" t="s">
        <v>31</v>
      </c>
      <c r="K26" t="s">
        <v>191</v>
      </c>
      <c r="L26" t="s">
        <v>14</v>
      </c>
      <c r="M26" t="s">
        <v>37</v>
      </c>
      <c r="N26">
        <f>6552*1.852</f>
        <v>12134.304</v>
      </c>
      <c r="O26">
        <v>29</v>
      </c>
    </row>
    <row r="27" spans="1:15" x14ac:dyDescent="0.45">
      <c r="A27" t="s">
        <v>10</v>
      </c>
      <c r="B27" t="s">
        <v>10</v>
      </c>
      <c r="C27" t="s">
        <v>10</v>
      </c>
      <c r="D27" t="s">
        <v>38</v>
      </c>
      <c r="E27" t="s">
        <v>32</v>
      </c>
      <c r="F27" t="s">
        <v>33</v>
      </c>
      <c r="G27">
        <v>250</v>
      </c>
      <c r="H27" t="s">
        <v>38</v>
      </c>
      <c r="I27" t="s">
        <v>31</v>
      </c>
      <c r="J27" t="s">
        <v>31</v>
      </c>
      <c r="K27" t="s">
        <v>191</v>
      </c>
      <c r="L27" t="s">
        <v>14</v>
      </c>
      <c r="M27" t="s">
        <v>37</v>
      </c>
      <c r="O27">
        <v>30</v>
      </c>
    </row>
    <row r="28" spans="1:15" x14ac:dyDescent="0.45">
      <c r="A28" t="s">
        <v>34</v>
      </c>
      <c r="B28" t="s">
        <v>10</v>
      </c>
      <c r="C28">
        <v>1000</v>
      </c>
      <c r="D28" t="s">
        <v>38</v>
      </c>
      <c r="E28" t="s">
        <v>21</v>
      </c>
      <c r="F28" t="s">
        <v>10</v>
      </c>
      <c r="G28">
        <v>200</v>
      </c>
      <c r="H28" t="s">
        <v>38</v>
      </c>
      <c r="I28" t="s">
        <v>31</v>
      </c>
      <c r="J28" t="s">
        <v>35</v>
      </c>
      <c r="K28" t="s">
        <v>14</v>
      </c>
      <c r="L28" t="s">
        <v>20</v>
      </c>
      <c r="M28" t="s">
        <v>37</v>
      </c>
      <c r="N28">
        <f>4573*1.852</f>
        <v>8469.1959999999999</v>
      </c>
      <c r="O28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591D-6F49-4CEC-B9B8-3A66A1512C23}">
  <dimension ref="A1:O63"/>
  <sheetViews>
    <sheetView topLeftCell="G49" workbookViewId="0">
      <selection activeCell="O2" sqref="O2:O63"/>
    </sheetView>
  </sheetViews>
  <sheetFormatPr defaultRowHeight="14.25" x14ac:dyDescent="0.45"/>
  <cols>
    <col min="1" max="1" width="36.59765625" customWidth="1"/>
    <col min="2" max="2" width="23" customWidth="1"/>
    <col min="3" max="3" width="16.265625" customWidth="1"/>
    <col min="4" max="4" width="31.1328125" customWidth="1"/>
    <col min="5" max="5" width="22.265625" customWidth="1"/>
    <col min="6" max="6" width="30.59765625" customWidth="1"/>
    <col min="7" max="7" width="18.73046875" customWidth="1"/>
    <col min="8" max="8" width="18.3984375" customWidth="1"/>
    <col min="9" max="9" width="19.73046875" customWidth="1"/>
    <col min="10" max="10" width="18.3984375" customWidth="1"/>
    <col min="11" max="11" width="23.1328125" customWidth="1"/>
    <col min="12" max="12" width="15.3984375" customWidth="1"/>
    <col min="13" max="13" width="11.73046875" customWidth="1"/>
    <col min="14" max="14" width="17.59765625" customWidth="1"/>
  </cols>
  <sheetData>
    <row r="1" spans="1:15" s="1" customFormat="1" x14ac:dyDescent="0.4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71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36</v>
      </c>
      <c r="N1" s="1" t="s">
        <v>134</v>
      </c>
      <c r="O1" s="1" t="s">
        <v>190</v>
      </c>
    </row>
    <row r="2" spans="1:15" ht="15.4" x14ac:dyDescent="0.45">
      <c r="A2" s="4" t="s">
        <v>10</v>
      </c>
      <c r="B2" s="4" t="s">
        <v>10</v>
      </c>
      <c r="C2" t="s">
        <v>10</v>
      </c>
      <c r="D2" t="s">
        <v>10</v>
      </c>
      <c r="E2" s="2" t="s">
        <v>39</v>
      </c>
      <c r="F2" s="2" t="s">
        <v>72</v>
      </c>
      <c r="G2" s="3">
        <v>30</v>
      </c>
      <c r="H2" t="s">
        <v>38</v>
      </c>
      <c r="I2" t="s">
        <v>13</v>
      </c>
      <c r="J2" t="s">
        <v>13</v>
      </c>
      <c r="K2" t="s">
        <v>191</v>
      </c>
      <c r="L2" t="s">
        <v>14</v>
      </c>
      <c r="M2" t="s">
        <v>73</v>
      </c>
      <c r="O2">
        <v>24</v>
      </c>
    </row>
    <row r="3" spans="1:15" ht="15.4" x14ac:dyDescent="0.45">
      <c r="A3" s="4" t="s">
        <v>21</v>
      </c>
      <c r="B3" s="4" t="s">
        <v>10</v>
      </c>
      <c r="C3">
        <v>200</v>
      </c>
      <c r="D3" t="s">
        <v>38</v>
      </c>
      <c r="E3" s="4" t="s">
        <v>21</v>
      </c>
      <c r="F3" t="s">
        <v>10</v>
      </c>
      <c r="G3" s="3">
        <v>500</v>
      </c>
      <c r="H3" t="s">
        <v>38</v>
      </c>
      <c r="I3" t="s">
        <v>42</v>
      </c>
      <c r="J3" t="s">
        <v>13</v>
      </c>
      <c r="K3" t="s">
        <v>191</v>
      </c>
      <c r="L3" t="s">
        <v>14</v>
      </c>
      <c r="M3" t="s">
        <v>73</v>
      </c>
      <c r="N3">
        <f>1413*1.852</f>
        <v>2616.8760000000002</v>
      </c>
      <c r="O3">
        <v>25</v>
      </c>
    </row>
    <row r="4" spans="1:15" ht="15.4" x14ac:dyDescent="0.45">
      <c r="A4" s="4" t="s">
        <v>40</v>
      </c>
      <c r="B4" s="4" t="s">
        <v>41</v>
      </c>
      <c r="C4">
        <v>10</v>
      </c>
      <c r="D4" t="s">
        <v>38</v>
      </c>
      <c r="E4" s="4" t="s">
        <v>21</v>
      </c>
      <c r="F4" t="s">
        <v>10</v>
      </c>
      <c r="G4" s="3">
        <v>500</v>
      </c>
      <c r="H4" t="s">
        <v>38</v>
      </c>
      <c r="I4" t="s">
        <v>49</v>
      </c>
      <c r="J4" t="s">
        <v>13</v>
      </c>
      <c r="K4" t="s">
        <v>191</v>
      </c>
      <c r="L4" t="s">
        <v>14</v>
      </c>
      <c r="M4" t="s">
        <v>73</v>
      </c>
      <c r="N4">
        <f>4215*1.852</f>
        <v>7806.18</v>
      </c>
      <c r="O4">
        <v>26</v>
      </c>
    </row>
    <row r="5" spans="1:15" ht="15.4" x14ac:dyDescent="0.45">
      <c r="A5" s="4" t="s">
        <v>21</v>
      </c>
      <c r="B5" s="4"/>
      <c r="C5">
        <v>100</v>
      </c>
      <c r="D5" t="s">
        <v>38</v>
      </c>
      <c r="E5" s="4" t="s">
        <v>21</v>
      </c>
      <c r="F5" t="s">
        <v>10</v>
      </c>
      <c r="G5" s="3">
        <v>500</v>
      </c>
      <c r="H5" t="s">
        <v>38</v>
      </c>
      <c r="I5" t="s">
        <v>68</v>
      </c>
      <c r="J5" t="s">
        <v>13</v>
      </c>
      <c r="K5" t="s">
        <v>191</v>
      </c>
      <c r="L5" t="s">
        <v>14</v>
      </c>
      <c r="M5" t="s">
        <v>73</v>
      </c>
      <c r="N5">
        <f>2210*1.852</f>
        <v>4092.92</v>
      </c>
      <c r="O5">
        <v>27</v>
      </c>
    </row>
    <row r="6" spans="1:15" ht="15.4" x14ac:dyDescent="0.45">
      <c r="A6" s="4" t="s">
        <v>43</v>
      </c>
      <c r="B6" s="4" t="s">
        <v>44</v>
      </c>
      <c r="C6">
        <v>333</v>
      </c>
      <c r="D6" t="s">
        <v>38</v>
      </c>
      <c r="E6" s="4" t="s">
        <v>21</v>
      </c>
      <c r="F6" t="s">
        <v>10</v>
      </c>
      <c r="G6" s="3">
        <v>500</v>
      </c>
      <c r="H6" t="s">
        <v>38</v>
      </c>
      <c r="I6" t="s">
        <v>19</v>
      </c>
      <c r="J6" t="s">
        <v>13</v>
      </c>
      <c r="K6" t="s">
        <v>191</v>
      </c>
      <c r="L6" t="s">
        <v>14</v>
      </c>
      <c r="M6" t="s">
        <v>73</v>
      </c>
      <c r="N6">
        <f>3919*1.852</f>
        <v>7257.9880000000003</v>
      </c>
      <c r="O6">
        <v>28</v>
      </c>
    </row>
    <row r="7" spans="1:15" ht="15.4" x14ac:dyDescent="0.45">
      <c r="A7" s="4" t="s">
        <v>10</v>
      </c>
      <c r="B7" s="4" t="s">
        <v>10</v>
      </c>
      <c r="C7">
        <v>500</v>
      </c>
      <c r="D7" t="s">
        <v>38</v>
      </c>
      <c r="E7" s="4" t="s">
        <v>21</v>
      </c>
      <c r="F7" t="s">
        <v>10</v>
      </c>
      <c r="G7" s="3">
        <v>500</v>
      </c>
      <c r="H7" t="s">
        <v>38</v>
      </c>
      <c r="I7" t="s">
        <v>69</v>
      </c>
      <c r="J7" t="s">
        <v>13</v>
      </c>
      <c r="K7" t="s">
        <v>191</v>
      </c>
      <c r="L7" t="s">
        <v>14</v>
      </c>
      <c r="M7" t="s">
        <v>73</v>
      </c>
      <c r="N7">
        <f>12428*1.852</f>
        <v>23016.656000000003</v>
      </c>
      <c r="O7">
        <v>29</v>
      </c>
    </row>
    <row r="8" spans="1:15" ht="15.4" x14ac:dyDescent="0.45">
      <c r="A8" s="4" t="s">
        <v>45</v>
      </c>
      <c r="B8" s="4" t="s">
        <v>46</v>
      </c>
      <c r="C8">
        <v>1800</v>
      </c>
      <c r="D8" t="s">
        <v>38</v>
      </c>
      <c r="E8" s="4" t="s">
        <v>21</v>
      </c>
      <c r="F8" t="s">
        <v>10</v>
      </c>
      <c r="G8" s="3">
        <v>500</v>
      </c>
      <c r="H8" t="s">
        <v>38</v>
      </c>
      <c r="I8" t="s">
        <v>47</v>
      </c>
      <c r="J8" t="s">
        <v>13</v>
      </c>
      <c r="K8" t="s">
        <v>191</v>
      </c>
      <c r="L8" t="s">
        <v>14</v>
      </c>
      <c r="M8" t="s">
        <v>73</v>
      </c>
      <c r="N8">
        <f>11023*1.852</f>
        <v>20414.596000000001</v>
      </c>
      <c r="O8">
        <v>30</v>
      </c>
    </row>
    <row r="9" spans="1:15" ht="15.4" x14ac:dyDescent="0.45">
      <c r="A9" s="4" t="s">
        <v>10</v>
      </c>
      <c r="B9" s="4" t="s">
        <v>10</v>
      </c>
      <c r="C9" t="s">
        <v>10</v>
      </c>
      <c r="D9" t="s">
        <v>10</v>
      </c>
      <c r="E9" s="4" t="s">
        <v>21</v>
      </c>
      <c r="F9" t="s">
        <v>10</v>
      </c>
      <c r="G9" s="4">
        <v>200</v>
      </c>
      <c r="H9" t="s">
        <v>38</v>
      </c>
      <c r="I9" t="s">
        <v>13</v>
      </c>
      <c r="J9" t="s">
        <v>13</v>
      </c>
      <c r="K9" t="s">
        <v>14</v>
      </c>
      <c r="L9" t="s">
        <v>20</v>
      </c>
      <c r="M9" t="s">
        <v>73</v>
      </c>
      <c r="O9">
        <v>4</v>
      </c>
    </row>
    <row r="10" spans="1:15" ht="15.4" x14ac:dyDescent="0.45">
      <c r="A10" s="4" t="s">
        <v>21</v>
      </c>
      <c r="B10" s="4" t="s">
        <v>10</v>
      </c>
      <c r="C10">
        <v>200</v>
      </c>
      <c r="D10" t="s">
        <v>38</v>
      </c>
      <c r="E10" s="4" t="s">
        <v>21</v>
      </c>
      <c r="F10" t="s">
        <v>10</v>
      </c>
      <c r="G10" s="4">
        <v>200</v>
      </c>
      <c r="H10" t="s">
        <v>38</v>
      </c>
      <c r="I10" t="s">
        <v>42</v>
      </c>
      <c r="J10" t="s">
        <v>30</v>
      </c>
      <c r="K10" t="s">
        <v>191</v>
      </c>
      <c r="L10" t="s">
        <v>14</v>
      </c>
      <c r="M10" t="s">
        <v>73</v>
      </c>
      <c r="N10">
        <f>1670*1.852</f>
        <v>3092.84</v>
      </c>
      <c r="O10">
        <v>31</v>
      </c>
    </row>
    <row r="11" spans="1:15" ht="15.4" x14ac:dyDescent="0.45">
      <c r="A11" s="4" t="s">
        <v>21</v>
      </c>
      <c r="B11" s="4" t="s">
        <v>10</v>
      </c>
      <c r="C11">
        <v>10</v>
      </c>
      <c r="D11" t="s">
        <v>38</v>
      </c>
      <c r="E11" s="4" t="s">
        <v>21</v>
      </c>
      <c r="F11" t="s">
        <v>10</v>
      </c>
      <c r="G11" s="4">
        <v>200</v>
      </c>
      <c r="H11" t="s">
        <v>38</v>
      </c>
      <c r="I11" t="s">
        <v>49</v>
      </c>
      <c r="J11" t="s">
        <v>30</v>
      </c>
      <c r="K11" t="s">
        <v>191</v>
      </c>
      <c r="L11" t="s">
        <v>14</v>
      </c>
      <c r="M11" t="s">
        <v>73</v>
      </c>
      <c r="N11">
        <f>3982*1.852</f>
        <v>7374.6640000000007</v>
      </c>
      <c r="O11">
        <v>32</v>
      </c>
    </row>
    <row r="12" spans="1:15" ht="15.4" x14ac:dyDescent="0.45">
      <c r="A12" s="4" t="s">
        <v>21</v>
      </c>
      <c r="B12" s="4" t="s">
        <v>10</v>
      </c>
      <c r="C12">
        <v>200</v>
      </c>
      <c r="D12" t="s">
        <v>38</v>
      </c>
      <c r="E12" s="4" t="s">
        <v>21</v>
      </c>
      <c r="F12" t="s">
        <v>10</v>
      </c>
      <c r="G12" s="4">
        <v>500</v>
      </c>
      <c r="H12" t="s">
        <v>38</v>
      </c>
      <c r="I12" t="s">
        <v>30</v>
      </c>
      <c r="J12" t="s">
        <v>13</v>
      </c>
      <c r="K12" t="s">
        <v>14</v>
      </c>
      <c r="L12" t="s">
        <v>20</v>
      </c>
      <c r="M12" t="s">
        <v>73</v>
      </c>
      <c r="N12">
        <f>1409.37*1.852</f>
        <v>2610.1532400000001</v>
      </c>
      <c r="O12">
        <v>5</v>
      </c>
    </row>
    <row r="13" spans="1:15" ht="15.4" x14ac:dyDescent="0.45">
      <c r="A13" s="4" t="s">
        <v>21</v>
      </c>
      <c r="B13" s="4" t="s">
        <v>10</v>
      </c>
      <c r="C13">
        <v>500</v>
      </c>
      <c r="D13" t="s">
        <v>38</v>
      </c>
      <c r="E13" s="4" t="s">
        <v>21</v>
      </c>
      <c r="F13" t="s">
        <v>10</v>
      </c>
      <c r="G13" s="4">
        <v>200</v>
      </c>
      <c r="H13" t="s">
        <v>38</v>
      </c>
      <c r="I13" t="s">
        <v>13</v>
      </c>
      <c r="J13" t="s">
        <v>35</v>
      </c>
      <c r="K13" t="s">
        <v>191</v>
      </c>
      <c r="L13" t="s">
        <v>14</v>
      </c>
      <c r="M13" t="s">
        <v>73</v>
      </c>
      <c r="N13">
        <f>492*1.852</f>
        <v>911.18400000000008</v>
      </c>
      <c r="O13">
        <v>33</v>
      </c>
    </row>
    <row r="14" spans="1:15" ht="15.4" x14ac:dyDescent="0.45">
      <c r="A14" s="4" t="s">
        <v>21</v>
      </c>
      <c r="B14" s="4" t="s">
        <v>10</v>
      </c>
      <c r="C14">
        <v>10</v>
      </c>
      <c r="D14" t="s">
        <v>38</v>
      </c>
      <c r="E14" s="4" t="s">
        <v>21</v>
      </c>
      <c r="F14" t="s">
        <v>10</v>
      </c>
      <c r="G14" s="4">
        <v>200</v>
      </c>
      <c r="H14" t="s">
        <v>38</v>
      </c>
      <c r="I14" t="s">
        <v>49</v>
      </c>
      <c r="J14" t="s">
        <v>35</v>
      </c>
      <c r="K14" t="s">
        <v>191</v>
      </c>
      <c r="L14" t="s">
        <v>14</v>
      </c>
      <c r="M14" t="s">
        <v>73</v>
      </c>
      <c r="N14">
        <f>4137*1.852</f>
        <v>7661.7240000000002</v>
      </c>
      <c r="O14">
        <v>34</v>
      </c>
    </row>
    <row r="15" spans="1:15" ht="15.4" x14ac:dyDescent="0.45">
      <c r="A15" s="4" t="s">
        <v>21</v>
      </c>
      <c r="B15" s="4" t="s">
        <v>10</v>
      </c>
      <c r="C15">
        <v>200</v>
      </c>
      <c r="D15" t="s">
        <v>38</v>
      </c>
      <c r="E15" s="4" t="s">
        <v>21</v>
      </c>
      <c r="F15" t="s">
        <v>10</v>
      </c>
      <c r="G15" s="4">
        <v>500</v>
      </c>
      <c r="H15" t="s">
        <v>38</v>
      </c>
      <c r="I15" t="s">
        <v>35</v>
      </c>
      <c r="J15" t="s">
        <v>13</v>
      </c>
      <c r="K15" t="s">
        <v>14</v>
      </c>
      <c r="L15" t="s">
        <v>20</v>
      </c>
      <c r="M15" t="s">
        <v>73</v>
      </c>
      <c r="N15">
        <f>492*1.852</f>
        <v>911.18400000000008</v>
      </c>
      <c r="O15">
        <v>6</v>
      </c>
    </row>
    <row r="16" spans="1:15" ht="15.4" x14ac:dyDescent="0.45">
      <c r="A16" s="4" t="s">
        <v>10</v>
      </c>
      <c r="B16" s="4" t="s">
        <v>10</v>
      </c>
      <c r="C16" t="s">
        <v>10</v>
      </c>
      <c r="D16" t="s">
        <v>10</v>
      </c>
      <c r="E16" s="4" t="s">
        <v>50</v>
      </c>
      <c r="F16" s="4" t="s">
        <v>51</v>
      </c>
      <c r="G16" s="4">
        <v>70</v>
      </c>
      <c r="H16" t="s">
        <v>38</v>
      </c>
      <c r="I16" t="s">
        <v>52</v>
      </c>
      <c r="J16" t="s">
        <v>52</v>
      </c>
      <c r="K16" t="s">
        <v>191</v>
      </c>
      <c r="L16" t="s">
        <v>14</v>
      </c>
      <c r="M16" t="s">
        <v>73</v>
      </c>
      <c r="O16">
        <v>35</v>
      </c>
    </row>
    <row r="17" spans="1:15" ht="15.4" x14ac:dyDescent="0.45">
      <c r="A17" s="4" t="s">
        <v>53</v>
      </c>
      <c r="B17" s="4" t="s">
        <v>54</v>
      </c>
      <c r="C17">
        <v>325</v>
      </c>
      <c r="D17" t="s">
        <v>38</v>
      </c>
      <c r="E17" s="4" t="s">
        <v>21</v>
      </c>
      <c r="F17" t="s">
        <v>10</v>
      </c>
      <c r="G17" s="4">
        <v>500</v>
      </c>
      <c r="H17" t="s">
        <v>38</v>
      </c>
      <c r="I17" t="s">
        <v>52</v>
      </c>
      <c r="J17" t="s">
        <v>13</v>
      </c>
      <c r="K17" t="s">
        <v>14</v>
      </c>
      <c r="L17" t="s">
        <v>20</v>
      </c>
      <c r="M17" t="s">
        <v>73</v>
      </c>
      <c r="N17">
        <f>11030*1.852</f>
        <v>20427.560000000001</v>
      </c>
      <c r="O17">
        <v>7</v>
      </c>
    </row>
    <row r="18" spans="1:15" ht="15.4" x14ac:dyDescent="0.45">
      <c r="A18" s="4" t="s">
        <v>21</v>
      </c>
      <c r="B18" s="4" t="s">
        <v>10</v>
      </c>
      <c r="C18">
        <v>500</v>
      </c>
      <c r="D18" t="s">
        <v>48</v>
      </c>
      <c r="E18" s="4" t="s">
        <v>55</v>
      </c>
      <c r="F18" s="4" t="s">
        <v>56</v>
      </c>
      <c r="G18" s="4">
        <v>595</v>
      </c>
      <c r="H18" t="s">
        <v>38</v>
      </c>
      <c r="I18" t="s">
        <v>57</v>
      </c>
      <c r="J18" t="s">
        <v>58</v>
      </c>
      <c r="K18" t="s">
        <v>191</v>
      </c>
      <c r="L18" t="s">
        <v>14</v>
      </c>
      <c r="M18" t="s">
        <v>73</v>
      </c>
      <c r="N18">
        <f>3100*1.852</f>
        <v>5741.2000000000007</v>
      </c>
      <c r="O18">
        <v>36</v>
      </c>
    </row>
    <row r="19" spans="1:15" ht="15.4" x14ac:dyDescent="0.45">
      <c r="A19" s="4" t="s">
        <v>55</v>
      </c>
      <c r="B19" s="4" t="s">
        <v>56</v>
      </c>
      <c r="C19">
        <v>595</v>
      </c>
      <c r="D19" t="s">
        <v>38</v>
      </c>
      <c r="E19" s="4" t="s">
        <v>10</v>
      </c>
      <c r="F19" t="s">
        <v>10</v>
      </c>
      <c r="G19" s="4">
        <v>500</v>
      </c>
      <c r="H19" t="s">
        <v>38</v>
      </c>
      <c r="I19" t="s">
        <v>58</v>
      </c>
      <c r="J19" t="s">
        <v>13</v>
      </c>
      <c r="K19" t="s">
        <v>14</v>
      </c>
      <c r="L19" t="s">
        <v>20</v>
      </c>
      <c r="M19" t="s">
        <v>73</v>
      </c>
      <c r="N19">
        <f>11571*1.852</f>
        <v>21429.492000000002</v>
      </c>
      <c r="O19">
        <v>8</v>
      </c>
    </row>
    <row r="20" spans="1:15" ht="15.4" x14ac:dyDescent="0.45">
      <c r="A20" s="4" t="s">
        <v>10</v>
      </c>
      <c r="B20" s="4" t="s">
        <v>10</v>
      </c>
      <c r="C20" t="s">
        <v>10</v>
      </c>
      <c r="D20" t="s">
        <v>10</v>
      </c>
      <c r="E20" s="4" t="s">
        <v>59</v>
      </c>
      <c r="F20" s="4" t="s">
        <v>60</v>
      </c>
      <c r="G20" s="4">
        <v>305</v>
      </c>
      <c r="H20" t="s">
        <v>38</v>
      </c>
      <c r="I20" t="s">
        <v>61</v>
      </c>
      <c r="J20" t="s">
        <v>61</v>
      </c>
      <c r="K20" t="s">
        <v>191</v>
      </c>
      <c r="L20" t="s">
        <v>14</v>
      </c>
      <c r="M20" t="s">
        <v>73</v>
      </c>
      <c r="O20">
        <v>37</v>
      </c>
    </row>
    <row r="21" spans="1:15" ht="15.4" x14ac:dyDescent="0.45">
      <c r="A21" s="4" t="s">
        <v>62</v>
      </c>
      <c r="B21" s="4" t="s">
        <v>63</v>
      </c>
      <c r="C21">
        <v>107</v>
      </c>
      <c r="D21" t="s">
        <v>38</v>
      </c>
      <c r="E21" s="4" t="s">
        <v>21</v>
      </c>
      <c r="F21" t="s">
        <v>10</v>
      </c>
      <c r="G21" s="4">
        <v>500</v>
      </c>
      <c r="H21" t="s">
        <v>38</v>
      </c>
      <c r="I21" t="s">
        <v>61</v>
      </c>
      <c r="J21" t="s">
        <v>13</v>
      </c>
      <c r="K21" t="s">
        <v>14</v>
      </c>
      <c r="L21" t="s">
        <v>20</v>
      </c>
      <c r="M21" t="s">
        <v>73</v>
      </c>
      <c r="N21">
        <f>10808*1.852</f>
        <v>20016.416000000001</v>
      </c>
      <c r="O21">
        <v>9</v>
      </c>
    </row>
    <row r="22" spans="1:15" ht="15.4" x14ac:dyDescent="0.45">
      <c r="A22" s="4" t="s">
        <v>45</v>
      </c>
      <c r="B22" s="4" t="s">
        <v>46</v>
      </c>
      <c r="C22">
        <v>1800</v>
      </c>
      <c r="D22" t="s">
        <v>38</v>
      </c>
      <c r="E22" s="4" t="s">
        <v>64</v>
      </c>
      <c r="F22" s="4" t="s">
        <v>65</v>
      </c>
      <c r="G22" s="4">
        <v>617</v>
      </c>
      <c r="H22" t="s">
        <v>38</v>
      </c>
      <c r="I22" t="s">
        <v>47</v>
      </c>
      <c r="J22" t="s">
        <v>66</v>
      </c>
      <c r="K22" t="s">
        <v>191</v>
      </c>
      <c r="L22" t="s">
        <v>14</v>
      </c>
      <c r="M22" t="s">
        <v>73</v>
      </c>
      <c r="N22">
        <f>3373*1.852</f>
        <v>6246.7960000000003</v>
      </c>
      <c r="O22">
        <v>38</v>
      </c>
    </row>
    <row r="23" spans="1:15" ht="15.4" x14ac:dyDescent="0.45">
      <c r="A23" s="4" t="s">
        <v>64</v>
      </c>
      <c r="B23" s="4" t="s">
        <v>65</v>
      </c>
      <c r="C23">
        <v>617</v>
      </c>
      <c r="D23" t="s">
        <v>38</v>
      </c>
      <c r="E23" s="4" t="s">
        <v>21</v>
      </c>
      <c r="F23" t="s">
        <v>10</v>
      </c>
      <c r="G23" s="4">
        <v>500</v>
      </c>
      <c r="H23" t="s">
        <v>38</v>
      </c>
      <c r="I23" t="s">
        <v>66</v>
      </c>
      <c r="J23" t="s">
        <v>13</v>
      </c>
      <c r="K23" t="s">
        <v>14</v>
      </c>
      <c r="L23" t="s">
        <v>20</v>
      </c>
      <c r="M23" t="s">
        <v>73</v>
      </c>
      <c r="N23">
        <f>7699*1.852</f>
        <v>14258.548000000001</v>
      </c>
      <c r="O23">
        <v>10</v>
      </c>
    </row>
    <row r="24" spans="1:15" ht="15.4" x14ac:dyDescent="0.45">
      <c r="A24" s="4" t="s">
        <v>10</v>
      </c>
      <c r="B24" s="4" t="s">
        <v>10</v>
      </c>
      <c r="C24" t="s">
        <v>10</v>
      </c>
      <c r="D24" t="s">
        <v>38</v>
      </c>
      <c r="E24" s="4" t="s">
        <v>21</v>
      </c>
      <c r="F24" t="s">
        <v>10</v>
      </c>
      <c r="G24" s="4">
        <v>200</v>
      </c>
      <c r="H24" t="s">
        <v>38</v>
      </c>
      <c r="I24" t="s">
        <v>67</v>
      </c>
      <c r="J24" t="s">
        <v>67</v>
      </c>
      <c r="K24" t="s">
        <v>191</v>
      </c>
      <c r="L24" t="s">
        <v>14</v>
      </c>
      <c r="M24" t="s">
        <v>73</v>
      </c>
      <c r="O24">
        <v>39</v>
      </c>
    </row>
    <row r="25" spans="1:15" ht="15.4" x14ac:dyDescent="0.45">
      <c r="A25" s="4" t="s">
        <v>21</v>
      </c>
      <c r="B25" s="4" t="s">
        <v>10</v>
      </c>
      <c r="C25">
        <v>200</v>
      </c>
      <c r="D25" t="s">
        <v>38</v>
      </c>
      <c r="E25" s="4" t="s">
        <v>21</v>
      </c>
      <c r="F25" t="s">
        <v>10</v>
      </c>
      <c r="G25" s="4">
        <v>500</v>
      </c>
      <c r="H25" t="s">
        <v>38</v>
      </c>
      <c r="I25" t="s">
        <v>67</v>
      </c>
      <c r="J25" t="s">
        <v>13</v>
      </c>
      <c r="K25" t="s">
        <v>14</v>
      </c>
      <c r="L25" t="s">
        <v>20</v>
      </c>
      <c r="M25" t="s">
        <v>73</v>
      </c>
      <c r="N25">
        <f>8596*1.852</f>
        <v>15919.792000000001</v>
      </c>
      <c r="O25">
        <v>11</v>
      </c>
    </row>
    <row r="26" spans="1:15" ht="15.4" x14ac:dyDescent="0.45">
      <c r="A26" s="4" t="s">
        <v>10</v>
      </c>
      <c r="B26" s="4" t="s">
        <v>10</v>
      </c>
      <c r="C26" t="s">
        <v>10</v>
      </c>
      <c r="D26" t="s">
        <v>38</v>
      </c>
      <c r="E26" s="4" t="s">
        <v>21</v>
      </c>
      <c r="F26" t="s">
        <v>10</v>
      </c>
      <c r="G26" s="4">
        <v>500</v>
      </c>
      <c r="H26" t="s">
        <v>38</v>
      </c>
      <c r="I26" t="s">
        <v>13</v>
      </c>
      <c r="J26" t="s">
        <v>13</v>
      </c>
      <c r="K26" t="s">
        <v>191</v>
      </c>
      <c r="L26" t="s">
        <v>14</v>
      </c>
      <c r="M26" t="s">
        <v>73</v>
      </c>
      <c r="O26">
        <v>40</v>
      </c>
    </row>
    <row r="27" spans="1:15" ht="15.4" x14ac:dyDescent="0.45">
      <c r="A27" s="4" t="s">
        <v>21</v>
      </c>
      <c r="B27" s="4" t="s">
        <v>10</v>
      </c>
      <c r="C27">
        <v>200</v>
      </c>
      <c r="D27" t="s">
        <v>38</v>
      </c>
      <c r="E27" s="4" t="s">
        <v>21</v>
      </c>
      <c r="F27" t="s">
        <v>10</v>
      </c>
      <c r="G27" s="4">
        <v>500</v>
      </c>
      <c r="H27" t="s">
        <v>38</v>
      </c>
      <c r="I27" t="s">
        <v>42</v>
      </c>
      <c r="J27" t="s">
        <v>13</v>
      </c>
      <c r="K27" t="s">
        <v>191</v>
      </c>
      <c r="L27" t="s">
        <v>14</v>
      </c>
      <c r="M27" t="s">
        <v>73</v>
      </c>
      <c r="N27">
        <f>1413*1.852</f>
        <v>2616.8760000000002</v>
      </c>
      <c r="O27">
        <v>41</v>
      </c>
    </row>
    <row r="28" spans="1:15" ht="15.4" x14ac:dyDescent="0.45">
      <c r="A28" s="4" t="s">
        <v>21</v>
      </c>
      <c r="B28" s="4" t="s">
        <v>10</v>
      </c>
      <c r="C28">
        <v>10</v>
      </c>
      <c r="D28" t="s">
        <v>38</v>
      </c>
      <c r="E28" s="4" t="s">
        <v>21</v>
      </c>
      <c r="F28" t="s">
        <v>10</v>
      </c>
      <c r="G28" s="4">
        <v>500</v>
      </c>
      <c r="H28" t="s">
        <v>38</v>
      </c>
      <c r="I28" t="s">
        <v>49</v>
      </c>
      <c r="J28" t="s">
        <v>13</v>
      </c>
      <c r="K28" t="s">
        <v>191</v>
      </c>
      <c r="L28" t="s">
        <v>14</v>
      </c>
      <c r="M28" t="s">
        <v>73</v>
      </c>
      <c r="N28">
        <f>4215*1.852</f>
        <v>7806.18</v>
      </c>
      <c r="O28">
        <v>42</v>
      </c>
    </row>
    <row r="29" spans="1:15" ht="15.4" x14ac:dyDescent="0.45">
      <c r="A29" s="4" t="s">
        <v>21</v>
      </c>
      <c r="B29" s="4" t="s">
        <v>10</v>
      </c>
      <c r="C29">
        <v>100</v>
      </c>
      <c r="D29" t="s">
        <v>38</v>
      </c>
      <c r="E29" s="4" t="s">
        <v>21</v>
      </c>
      <c r="F29" t="s">
        <v>10</v>
      </c>
      <c r="G29" s="4">
        <v>500</v>
      </c>
      <c r="H29" t="s">
        <v>38</v>
      </c>
      <c r="I29" t="s">
        <v>68</v>
      </c>
      <c r="J29" t="s">
        <v>13</v>
      </c>
      <c r="K29" t="s">
        <v>191</v>
      </c>
      <c r="L29" t="s">
        <v>14</v>
      </c>
      <c r="M29" t="s">
        <v>73</v>
      </c>
      <c r="N29">
        <f>2210*1.852</f>
        <v>4092.92</v>
      </c>
      <c r="O29">
        <v>43</v>
      </c>
    </row>
    <row r="30" spans="1:15" ht="15.4" x14ac:dyDescent="0.45">
      <c r="A30" s="4" t="s">
        <v>43</v>
      </c>
      <c r="B30" s="4" t="s">
        <v>44</v>
      </c>
      <c r="C30">
        <v>333</v>
      </c>
      <c r="D30" t="s">
        <v>38</v>
      </c>
      <c r="E30" s="4" t="s">
        <v>21</v>
      </c>
      <c r="F30" t="s">
        <v>10</v>
      </c>
      <c r="G30" s="4">
        <v>500</v>
      </c>
      <c r="H30" t="s">
        <v>38</v>
      </c>
      <c r="I30" t="s">
        <v>19</v>
      </c>
      <c r="J30" t="s">
        <v>13</v>
      </c>
      <c r="K30" t="s">
        <v>191</v>
      </c>
      <c r="L30" t="s">
        <v>14</v>
      </c>
      <c r="M30" t="s">
        <v>73</v>
      </c>
      <c r="N30">
        <f>3919*1.852</f>
        <v>7257.9880000000003</v>
      </c>
      <c r="O30">
        <v>44</v>
      </c>
    </row>
    <row r="31" spans="1:15" ht="15.4" x14ac:dyDescent="0.45">
      <c r="A31" s="4" t="s">
        <v>21</v>
      </c>
      <c r="B31" s="4" t="s">
        <v>10</v>
      </c>
      <c r="C31">
        <v>500</v>
      </c>
      <c r="D31" t="s">
        <v>38</v>
      </c>
      <c r="E31" s="4" t="s">
        <v>21</v>
      </c>
      <c r="F31" t="s">
        <v>10</v>
      </c>
      <c r="G31" s="4">
        <v>500</v>
      </c>
      <c r="H31" t="s">
        <v>38</v>
      </c>
      <c r="I31" t="s">
        <v>69</v>
      </c>
      <c r="J31" t="s">
        <v>13</v>
      </c>
      <c r="K31" t="s">
        <v>191</v>
      </c>
      <c r="L31" t="s">
        <v>14</v>
      </c>
      <c r="M31" t="s">
        <v>73</v>
      </c>
      <c r="N31">
        <f>12428*1.852</f>
        <v>23016.656000000003</v>
      </c>
      <c r="O31">
        <v>45</v>
      </c>
    </row>
    <row r="32" spans="1:15" ht="15.4" x14ac:dyDescent="0.45">
      <c r="A32" s="4" t="s">
        <v>45</v>
      </c>
      <c r="B32" s="4" t="s">
        <v>46</v>
      </c>
      <c r="C32" s="4">
        <v>1800</v>
      </c>
      <c r="D32" t="s">
        <v>38</v>
      </c>
      <c r="E32" s="4" t="s">
        <v>21</v>
      </c>
      <c r="F32" t="s">
        <v>10</v>
      </c>
      <c r="G32" s="4">
        <v>500</v>
      </c>
      <c r="H32" t="s">
        <v>38</v>
      </c>
      <c r="I32" t="s">
        <v>47</v>
      </c>
      <c r="J32" t="s">
        <v>13</v>
      </c>
      <c r="K32" t="s">
        <v>191</v>
      </c>
      <c r="L32" t="s">
        <v>14</v>
      </c>
      <c r="M32" t="s">
        <v>73</v>
      </c>
      <c r="N32">
        <f>11023*1.852</f>
        <v>20414.596000000001</v>
      </c>
      <c r="O32">
        <v>46</v>
      </c>
    </row>
    <row r="33" spans="1:15" ht="15.4" x14ac:dyDescent="0.45">
      <c r="A33" s="4" t="s">
        <v>21</v>
      </c>
      <c r="B33" s="4" t="s">
        <v>10</v>
      </c>
      <c r="C33" s="4">
        <v>500</v>
      </c>
      <c r="D33" t="s">
        <v>38</v>
      </c>
      <c r="E33" s="4" t="s">
        <v>21</v>
      </c>
      <c r="F33" t="s">
        <v>10</v>
      </c>
      <c r="G33" s="4">
        <v>200</v>
      </c>
      <c r="H33" t="s">
        <v>38</v>
      </c>
      <c r="I33" t="s">
        <v>13</v>
      </c>
      <c r="J33" t="s">
        <v>30</v>
      </c>
      <c r="K33" t="s">
        <v>14</v>
      </c>
      <c r="L33" t="s">
        <v>20</v>
      </c>
      <c r="M33" t="s">
        <v>73</v>
      </c>
      <c r="N33">
        <f>1409.37*1.852</f>
        <v>2610.1532400000001</v>
      </c>
      <c r="O33">
        <v>12</v>
      </c>
    </row>
    <row r="34" spans="1:15" ht="15.4" x14ac:dyDescent="0.45">
      <c r="A34" s="4" t="s">
        <v>21</v>
      </c>
      <c r="B34" s="4" t="s">
        <v>10</v>
      </c>
      <c r="C34" s="4">
        <v>500</v>
      </c>
      <c r="D34" t="s">
        <v>38</v>
      </c>
      <c r="E34" s="4" t="s">
        <v>21</v>
      </c>
      <c r="F34" t="s">
        <v>10</v>
      </c>
      <c r="G34" s="4">
        <v>200</v>
      </c>
      <c r="H34" t="s">
        <v>38</v>
      </c>
      <c r="I34" t="s">
        <v>13</v>
      </c>
      <c r="J34" t="s">
        <v>35</v>
      </c>
      <c r="K34" t="s">
        <v>191</v>
      </c>
      <c r="L34" t="s">
        <v>14</v>
      </c>
      <c r="M34" t="s">
        <v>73</v>
      </c>
      <c r="N34">
        <f>492*1.852</f>
        <v>911.18400000000008</v>
      </c>
      <c r="O34">
        <v>47</v>
      </c>
    </row>
    <row r="35" spans="1:15" ht="15.4" x14ac:dyDescent="0.45">
      <c r="A35" s="4" t="s">
        <v>21</v>
      </c>
      <c r="B35" s="4" t="s">
        <v>10</v>
      </c>
      <c r="C35" s="4">
        <v>10</v>
      </c>
      <c r="D35" t="s">
        <v>38</v>
      </c>
      <c r="E35" s="4" t="s">
        <v>21</v>
      </c>
      <c r="F35" t="s">
        <v>10</v>
      </c>
      <c r="G35" s="4">
        <v>200</v>
      </c>
      <c r="H35" t="s">
        <v>38</v>
      </c>
      <c r="I35" t="s">
        <v>49</v>
      </c>
      <c r="J35" t="s">
        <v>35</v>
      </c>
      <c r="K35" t="s">
        <v>191</v>
      </c>
      <c r="L35" t="s">
        <v>14</v>
      </c>
      <c r="M35" t="s">
        <v>73</v>
      </c>
      <c r="N35">
        <f>4137*1.852</f>
        <v>7661.7240000000002</v>
      </c>
      <c r="O35">
        <v>48</v>
      </c>
    </row>
    <row r="36" spans="1:15" ht="15.4" x14ac:dyDescent="0.45">
      <c r="A36" s="4" t="s">
        <v>21</v>
      </c>
      <c r="B36" s="4" t="s">
        <v>10</v>
      </c>
      <c r="C36" s="4">
        <v>200</v>
      </c>
      <c r="D36" t="s">
        <v>38</v>
      </c>
      <c r="E36" s="4" t="s">
        <v>21</v>
      </c>
      <c r="F36" t="s">
        <v>10</v>
      </c>
      <c r="G36" s="4">
        <v>200</v>
      </c>
      <c r="H36" t="s">
        <v>38</v>
      </c>
      <c r="I36" t="s">
        <v>35</v>
      </c>
      <c r="J36" t="s">
        <v>30</v>
      </c>
      <c r="K36" t="s">
        <v>14</v>
      </c>
      <c r="L36" t="s">
        <v>20</v>
      </c>
      <c r="M36" t="s">
        <v>73</v>
      </c>
      <c r="N36">
        <f>340*1.852</f>
        <v>629.68000000000006</v>
      </c>
      <c r="O36">
        <v>13</v>
      </c>
    </row>
    <row r="37" spans="1:15" ht="15.4" x14ac:dyDescent="0.45">
      <c r="A37" s="4" t="s">
        <v>10</v>
      </c>
      <c r="B37" s="4" t="s">
        <v>10</v>
      </c>
      <c r="C37" s="4" t="s">
        <v>10</v>
      </c>
      <c r="D37" t="s">
        <v>38</v>
      </c>
      <c r="E37" s="4" t="s">
        <v>21</v>
      </c>
      <c r="F37" t="s">
        <v>10</v>
      </c>
      <c r="G37" s="4">
        <v>200</v>
      </c>
      <c r="H37" t="s">
        <v>38</v>
      </c>
      <c r="I37" t="s">
        <v>52</v>
      </c>
      <c r="J37" t="s">
        <v>52</v>
      </c>
      <c r="K37" t="s">
        <v>191</v>
      </c>
      <c r="L37" t="s">
        <v>14</v>
      </c>
      <c r="M37" t="s">
        <v>73</v>
      </c>
      <c r="O37">
        <v>49</v>
      </c>
    </row>
    <row r="38" spans="1:15" ht="15.4" x14ac:dyDescent="0.45">
      <c r="A38" s="4" t="s">
        <v>53</v>
      </c>
      <c r="B38" s="4" t="s">
        <v>54</v>
      </c>
      <c r="C38" s="4">
        <v>325</v>
      </c>
      <c r="D38" t="s">
        <v>38</v>
      </c>
      <c r="E38" s="4" t="s">
        <v>21</v>
      </c>
      <c r="F38" t="s">
        <v>10</v>
      </c>
      <c r="G38" s="4">
        <v>200</v>
      </c>
      <c r="H38" t="s">
        <v>38</v>
      </c>
      <c r="I38" t="s">
        <v>52</v>
      </c>
      <c r="J38" t="s">
        <v>30</v>
      </c>
      <c r="K38" t="s">
        <v>14</v>
      </c>
      <c r="L38" t="s">
        <v>20</v>
      </c>
      <c r="M38" t="s">
        <v>73</v>
      </c>
      <c r="N38">
        <f>11587*1.852</f>
        <v>21459.124</v>
      </c>
      <c r="O38">
        <v>14</v>
      </c>
    </row>
    <row r="39" spans="1:15" ht="15.4" x14ac:dyDescent="0.45">
      <c r="A39" s="4" t="s">
        <v>21</v>
      </c>
      <c r="B39" s="4" t="s">
        <v>10</v>
      </c>
      <c r="C39" s="4">
        <v>500</v>
      </c>
      <c r="D39" t="s">
        <v>48</v>
      </c>
      <c r="E39" t="s">
        <v>10</v>
      </c>
      <c r="F39" t="s">
        <v>10</v>
      </c>
      <c r="G39" s="4">
        <v>595</v>
      </c>
      <c r="H39" t="s">
        <v>38</v>
      </c>
      <c r="I39" t="s">
        <v>57</v>
      </c>
      <c r="J39" t="s">
        <v>58</v>
      </c>
      <c r="K39" t="s">
        <v>191</v>
      </c>
      <c r="L39" t="s">
        <v>14</v>
      </c>
      <c r="M39" t="s">
        <v>73</v>
      </c>
      <c r="N39">
        <f>3100*1.852</f>
        <v>5741.2000000000007</v>
      </c>
      <c r="O39">
        <v>50</v>
      </c>
    </row>
    <row r="40" spans="1:15" ht="15.4" x14ac:dyDescent="0.45">
      <c r="A40" s="4" t="s">
        <v>55</v>
      </c>
      <c r="B40" s="4" t="s">
        <v>56</v>
      </c>
      <c r="C40" s="4">
        <v>595</v>
      </c>
      <c r="D40" t="s">
        <v>38</v>
      </c>
      <c r="E40" s="4" t="s">
        <v>21</v>
      </c>
      <c r="F40" t="s">
        <v>10</v>
      </c>
      <c r="G40" s="4">
        <v>200</v>
      </c>
      <c r="H40" t="s">
        <v>38</v>
      </c>
      <c r="I40" t="s">
        <v>58</v>
      </c>
      <c r="J40" t="s">
        <v>30</v>
      </c>
      <c r="K40" t="s">
        <v>14</v>
      </c>
      <c r="L40" t="s">
        <v>20</v>
      </c>
      <c r="M40" t="s">
        <v>73</v>
      </c>
      <c r="N40">
        <f>12040*1.852</f>
        <v>22298.080000000002</v>
      </c>
      <c r="O40">
        <v>15</v>
      </c>
    </row>
    <row r="41" spans="1:15" ht="15.4" x14ac:dyDescent="0.45">
      <c r="A41" s="4" t="s">
        <v>10</v>
      </c>
      <c r="B41" s="4" t="s">
        <v>10</v>
      </c>
      <c r="C41" s="4" t="s">
        <v>10</v>
      </c>
      <c r="D41" t="s">
        <v>38</v>
      </c>
      <c r="E41" s="4" t="s">
        <v>59</v>
      </c>
      <c r="F41" s="4" t="s">
        <v>60</v>
      </c>
      <c r="G41" s="4">
        <v>305</v>
      </c>
      <c r="H41" t="s">
        <v>38</v>
      </c>
      <c r="I41" t="s">
        <v>61</v>
      </c>
      <c r="J41" t="s">
        <v>61</v>
      </c>
      <c r="K41" t="s">
        <v>191</v>
      </c>
      <c r="L41" t="s">
        <v>14</v>
      </c>
      <c r="M41" t="s">
        <v>73</v>
      </c>
      <c r="O41">
        <v>51</v>
      </c>
    </row>
    <row r="42" spans="1:15" ht="15.4" x14ac:dyDescent="0.45">
      <c r="A42" s="4" t="s">
        <v>62</v>
      </c>
      <c r="B42" s="4" t="s">
        <v>63</v>
      </c>
      <c r="C42" s="4">
        <v>107</v>
      </c>
      <c r="D42" t="s">
        <v>38</v>
      </c>
      <c r="E42" s="4" t="s">
        <v>21</v>
      </c>
      <c r="F42" t="s">
        <v>10</v>
      </c>
      <c r="G42" s="4">
        <v>200</v>
      </c>
      <c r="H42" t="s">
        <v>38</v>
      </c>
      <c r="I42" t="s">
        <v>61</v>
      </c>
      <c r="J42" t="s">
        <v>30</v>
      </c>
      <c r="K42" t="s">
        <v>14</v>
      </c>
      <c r="L42" t="s">
        <v>20</v>
      </c>
      <c r="M42" t="s">
        <v>73</v>
      </c>
      <c r="N42">
        <f>11277*1.852</f>
        <v>20885.004000000001</v>
      </c>
      <c r="O42">
        <v>16</v>
      </c>
    </row>
    <row r="43" spans="1:15" ht="15.4" x14ac:dyDescent="0.45">
      <c r="A43" s="4" t="s">
        <v>45</v>
      </c>
      <c r="B43" s="4" t="s">
        <v>46</v>
      </c>
      <c r="C43" s="4">
        <v>1800</v>
      </c>
      <c r="D43" t="s">
        <v>38</v>
      </c>
      <c r="E43" s="4" t="s">
        <v>64</v>
      </c>
      <c r="F43" s="4" t="s">
        <v>65</v>
      </c>
      <c r="G43" s="4">
        <v>617</v>
      </c>
      <c r="H43" t="s">
        <v>38</v>
      </c>
      <c r="I43" t="s">
        <v>47</v>
      </c>
      <c r="J43" t="s">
        <v>66</v>
      </c>
      <c r="K43" t="s">
        <v>191</v>
      </c>
      <c r="L43" t="s">
        <v>14</v>
      </c>
      <c r="M43" t="s">
        <v>73</v>
      </c>
      <c r="N43">
        <f>3373*1.852</f>
        <v>6246.7960000000003</v>
      </c>
      <c r="O43">
        <v>52</v>
      </c>
    </row>
    <row r="44" spans="1:15" ht="15.4" x14ac:dyDescent="0.45">
      <c r="A44" s="4" t="s">
        <v>64</v>
      </c>
      <c r="B44" s="4" t="s">
        <v>65</v>
      </c>
      <c r="C44" s="4">
        <v>617</v>
      </c>
      <c r="D44" t="s">
        <v>38</v>
      </c>
      <c r="E44" s="4" t="s">
        <v>21</v>
      </c>
      <c r="F44" t="s">
        <v>10</v>
      </c>
      <c r="G44" s="4">
        <v>200</v>
      </c>
      <c r="H44" t="s">
        <v>38</v>
      </c>
      <c r="I44" t="s">
        <v>66</v>
      </c>
      <c r="J44" t="s">
        <v>30</v>
      </c>
      <c r="K44" t="s">
        <v>14</v>
      </c>
      <c r="L44" t="s">
        <v>20</v>
      </c>
      <c r="M44" t="s">
        <v>73</v>
      </c>
      <c r="N44">
        <f>8164*1.852</f>
        <v>15119.728000000001</v>
      </c>
      <c r="O44">
        <v>17</v>
      </c>
    </row>
    <row r="45" spans="1:15" ht="15.4" x14ac:dyDescent="0.45">
      <c r="A45" s="4" t="s">
        <v>10</v>
      </c>
      <c r="B45" s="4" t="s">
        <v>10</v>
      </c>
      <c r="C45" s="4" t="s">
        <v>10</v>
      </c>
      <c r="D45" t="s">
        <v>38</v>
      </c>
      <c r="E45" s="2" t="s">
        <v>39</v>
      </c>
      <c r="F45" s="2" t="s">
        <v>72</v>
      </c>
      <c r="G45" s="3">
        <v>30</v>
      </c>
      <c r="H45" t="s">
        <v>38</v>
      </c>
      <c r="I45" t="s">
        <v>13</v>
      </c>
      <c r="J45" t="s">
        <v>13</v>
      </c>
      <c r="K45" t="s">
        <v>191</v>
      </c>
      <c r="L45" t="s">
        <v>14</v>
      </c>
      <c r="M45" t="s">
        <v>73</v>
      </c>
      <c r="O45">
        <v>53</v>
      </c>
    </row>
    <row r="46" spans="1:15" ht="15.4" x14ac:dyDescent="0.45">
      <c r="A46" s="4" t="s">
        <v>21</v>
      </c>
      <c r="B46" s="4" t="s">
        <v>10</v>
      </c>
      <c r="C46" s="4">
        <v>200</v>
      </c>
      <c r="D46" t="s">
        <v>38</v>
      </c>
      <c r="E46" s="4" t="s">
        <v>21</v>
      </c>
      <c r="F46" t="s">
        <v>10</v>
      </c>
      <c r="G46" s="4">
        <v>500</v>
      </c>
      <c r="H46" t="s">
        <v>38</v>
      </c>
      <c r="I46" t="s">
        <v>42</v>
      </c>
      <c r="J46" t="s">
        <v>13</v>
      </c>
      <c r="K46" t="s">
        <v>191</v>
      </c>
      <c r="L46" t="s">
        <v>14</v>
      </c>
      <c r="M46" t="s">
        <v>73</v>
      </c>
      <c r="N46">
        <f>1413*1.852</f>
        <v>2616.8760000000002</v>
      </c>
      <c r="O46">
        <v>54</v>
      </c>
    </row>
    <row r="47" spans="1:15" ht="15.4" x14ac:dyDescent="0.45">
      <c r="A47" s="4" t="s">
        <v>21</v>
      </c>
      <c r="B47" s="4" t="s">
        <v>10</v>
      </c>
      <c r="C47" s="4">
        <v>10</v>
      </c>
      <c r="D47" t="s">
        <v>38</v>
      </c>
      <c r="E47" s="4" t="s">
        <v>21</v>
      </c>
      <c r="F47" t="s">
        <v>10</v>
      </c>
      <c r="G47" s="4">
        <v>500</v>
      </c>
      <c r="H47" t="s">
        <v>38</v>
      </c>
      <c r="I47" t="s">
        <v>49</v>
      </c>
      <c r="J47" t="s">
        <v>13</v>
      </c>
      <c r="K47" t="s">
        <v>191</v>
      </c>
      <c r="L47" t="s">
        <v>14</v>
      </c>
      <c r="M47" t="s">
        <v>73</v>
      </c>
      <c r="N47">
        <f>3982*1.852</f>
        <v>7374.6640000000007</v>
      </c>
      <c r="O47">
        <v>55</v>
      </c>
    </row>
    <row r="48" spans="1:15" ht="15.4" x14ac:dyDescent="0.45">
      <c r="A48" s="4" t="s">
        <v>21</v>
      </c>
      <c r="B48" s="4" t="s">
        <v>10</v>
      </c>
      <c r="C48" s="4">
        <v>100</v>
      </c>
      <c r="D48" t="s">
        <v>38</v>
      </c>
      <c r="E48" s="4" t="s">
        <v>21</v>
      </c>
      <c r="F48" t="s">
        <v>10</v>
      </c>
      <c r="G48" s="4">
        <v>500</v>
      </c>
      <c r="H48" t="s">
        <v>38</v>
      </c>
      <c r="I48" t="s">
        <v>68</v>
      </c>
      <c r="J48" t="s">
        <v>13</v>
      </c>
      <c r="K48" t="s">
        <v>191</v>
      </c>
      <c r="L48" t="s">
        <v>14</v>
      </c>
      <c r="M48" t="s">
        <v>73</v>
      </c>
      <c r="N48">
        <f>2210*1.852</f>
        <v>4092.92</v>
      </c>
      <c r="O48">
        <v>56</v>
      </c>
    </row>
    <row r="49" spans="1:15" ht="15.4" x14ac:dyDescent="0.45">
      <c r="A49" s="4" t="s">
        <v>43</v>
      </c>
      <c r="B49" s="4" t="s">
        <v>44</v>
      </c>
      <c r="C49" s="4">
        <v>333</v>
      </c>
      <c r="D49" t="s">
        <v>38</v>
      </c>
      <c r="E49" s="4" t="s">
        <v>21</v>
      </c>
      <c r="F49" t="s">
        <v>10</v>
      </c>
      <c r="G49" s="4">
        <v>500</v>
      </c>
      <c r="H49" t="s">
        <v>38</v>
      </c>
      <c r="I49" t="s">
        <v>19</v>
      </c>
      <c r="J49" t="s">
        <v>13</v>
      </c>
      <c r="K49" t="s">
        <v>191</v>
      </c>
      <c r="L49" t="s">
        <v>14</v>
      </c>
      <c r="M49" t="s">
        <v>73</v>
      </c>
      <c r="N49">
        <f>3919*1.852</f>
        <v>7257.9880000000003</v>
      </c>
      <c r="O49">
        <v>57</v>
      </c>
    </row>
    <row r="50" spans="1:15" ht="15.4" x14ac:dyDescent="0.45">
      <c r="A50" s="4" t="s">
        <v>21</v>
      </c>
      <c r="B50" s="4" t="s">
        <v>10</v>
      </c>
      <c r="C50" s="4">
        <v>500</v>
      </c>
      <c r="D50" t="s">
        <v>38</v>
      </c>
      <c r="E50" s="4" t="s">
        <v>21</v>
      </c>
      <c r="F50" t="s">
        <v>10</v>
      </c>
      <c r="G50" s="4">
        <v>500</v>
      </c>
      <c r="H50" t="s">
        <v>38</v>
      </c>
      <c r="I50" t="s">
        <v>69</v>
      </c>
      <c r="J50" t="s">
        <v>13</v>
      </c>
      <c r="K50" t="s">
        <v>191</v>
      </c>
      <c r="L50" t="s">
        <v>14</v>
      </c>
      <c r="M50" t="s">
        <v>73</v>
      </c>
      <c r="N50">
        <f>12428*1.852</f>
        <v>23016.656000000003</v>
      </c>
      <c r="O50">
        <v>58</v>
      </c>
    </row>
    <row r="51" spans="1:15" ht="15.4" x14ac:dyDescent="0.45">
      <c r="A51" s="4" t="s">
        <v>45</v>
      </c>
      <c r="B51" s="4" t="s">
        <v>46</v>
      </c>
      <c r="C51" s="4">
        <v>1800</v>
      </c>
      <c r="D51" t="s">
        <v>38</v>
      </c>
      <c r="E51" s="4" t="s">
        <v>21</v>
      </c>
      <c r="F51" t="s">
        <v>10</v>
      </c>
      <c r="G51" s="4">
        <v>500</v>
      </c>
      <c r="H51" t="s">
        <v>38</v>
      </c>
      <c r="I51" t="s">
        <v>47</v>
      </c>
      <c r="J51" t="s">
        <v>13</v>
      </c>
      <c r="K51" t="s">
        <v>191</v>
      </c>
      <c r="L51" t="s">
        <v>14</v>
      </c>
      <c r="M51" t="s">
        <v>73</v>
      </c>
      <c r="N51">
        <f>11023*1.852</f>
        <v>20414.596000000001</v>
      </c>
      <c r="O51">
        <v>59</v>
      </c>
    </row>
    <row r="52" spans="1:15" ht="15.4" x14ac:dyDescent="0.45">
      <c r="A52" s="4" t="s">
        <v>21</v>
      </c>
      <c r="B52" s="4" t="s">
        <v>10</v>
      </c>
      <c r="C52" s="4">
        <v>500</v>
      </c>
      <c r="D52" t="s">
        <v>38</v>
      </c>
      <c r="E52" s="4" t="s">
        <v>21</v>
      </c>
      <c r="F52" t="s">
        <v>10</v>
      </c>
      <c r="G52" s="4">
        <v>200</v>
      </c>
      <c r="H52" t="s">
        <v>38</v>
      </c>
      <c r="I52" t="s">
        <v>13</v>
      </c>
      <c r="J52" t="s">
        <v>35</v>
      </c>
      <c r="K52" t="s">
        <v>14</v>
      </c>
      <c r="L52" t="s">
        <v>20</v>
      </c>
      <c r="M52" t="s">
        <v>73</v>
      </c>
      <c r="N52">
        <f>492*1.852</f>
        <v>911.18400000000008</v>
      </c>
      <c r="O52">
        <v>18</v>
      </c>
    </row>
    <row r="53" spans="1:15" ht="15.4" x14ac:dyDescent="0.45">
      <c r="A53" s="4" t="s">
        <v>21</v>
      </c>
      <c r="B53" s="4" t="s">
        <v>10</v>
      </c>
      <c r="C53" s="4">
        <v>500</v>
      </c>
      <c r="D53" t="s">
        <v>38</v>
      </c>
      <c r="E53" s="4" t="s">
        <v>21</v>
      </c>
      <c r="F53" t="s">
        <v>10</v>
      </c>
      <c r="G53" s="4">
        <v>200</v>
      </c>
      <c r="H53" t="s">
        <v>38</v>
      </c>
      <c r="I53" t="s">
        <v>13</v>
      </c>
      <c r="J53" t="s">
        <v>35</v>
      </c>
      <c r="K53" t="s">
        <v>191</v>
      </c>
      <c r="L53" t="s">
        <v>14</v>
      </c>
      <c r="M53" t="s">
        <v>73</v>
      </c>
      <c r="N53">
        <f>492*1.852</f>
        <v>911.18400000000008</v>
      </c>
      <c r="O53">
        <v>60</v>
      </c>
    </row>
    <row r="54" spans="1:15" ht="15.4" x14ac:dyDescent="0.45">
      <c r="A54" s="4" t="s">
        <v>21</v>
      </c>
      <c r="B54" s="4" t="s">
        <v>10</v>
      </c>
      <c r="C54" s="4">
        <v>10</v>
      </c>
      <c r="D54" t="s">
        <v>38</v>
      </c>
      <c r="E54" s="4" t="s">
        <v>21</v>
      </c>
      <c r="F54" t="s">
        <v>10</v>
      </c>
      <c r="G54" s="4">
        <v>200</v>
      </c>
      <c r="H54" t="s">
        <v>38</v>
      </c>
      <c r="I54" t="s">
        <v>49</v>
      </c>
      <c r="J54" t="s">
        <v>35</v>
      </c>
      <c r="K54" t="s">
        <v>191</v>
      </c>
      <c r="L54" t="s">
        <v>14</v>
      </c>
      <c r="M54" t="s">
        <v>73</v>
      </c>
      <c r="N54">
        <f>4137*1.852</f>
        <v>7661.7240000000002</v>
      </c>
      <c r="O54">
        <v>61</v>
      </c>
    </row>
    <row r="55" spans="1:15" ht="15.4" x14ac:dyDescent="0.45">
      <c r="A55" s="4" t="s">
        <v>10</v>
      </c>
      <c r="B55" s="4" t="s">
        <v>10</v>
      </c>
      <c r="C55" s="4" t="s">
        <v>10</v>
      </c>
      <c r="D55" t="s">
        <v>38</v>
      </c>
      <c r="E55" s="4" t="s">
        <v>21</v>
      </c>
      <c r="F55" t="s">
        <v>10</v>
      </c>
      <c r="G55" s="4">
        <v>200</v>
      </c>
      <c r="H55" t="s">
        <v>38</v>
      </c>
      <c r="I55" t="s">
        <v>35</v>
      </c>
      <c r="J55" t="s">
        <v>35</v>
      </c>
      <c r="K55" t="s">
        <v>14</v>
      </c>
      <c r="L55" t="s">
        <v>20</v>
      </c>
      <c r="M55" t="s">
        <v>73</v>
      </c>
      <c r="O55">
        <v>19</v>
      </c>
    </row>
    <row r="56" spans="1:15" ht="15.4" x14ac:dyDescent="0.45">
      <c r="A56" s="4" t="s">
        <v>10</v>
      </c>
      <c r="B56" s="4" t="s">
        <v>10</v>
      </c>
      <c r="C56" s="4" t="s">
        <v>10</v>
      </c>
      <c r="D56" t="s">
        <v>38</v>
      </c>
      <c r="E56" s="4" t="s">
        <v>21</v>
      </c>
      <c r="F56" t="s">
        <v>10</v>
      </c>
      <c r="G56" s="4">
        <v>200</v>
      </c>
      <c r="H56" t="s">
        <v>38</v>
      </c>
      <c r="I56" t="s">
        <v>52</v>
      </c>
      <c r="J56" t="s">
        <v>52</v>
      </c>
      <c r="K56" t="s">
        <v>191</v>
      </c>
      <c r="L56" t="s">
        <v>14</v>
      </c>
      <c r="M56" t="s">
        <v>73</v>
      </c>
      <c r="O56">
        <v>62</v>
      </c>
    </row>
    <row r="57" spans="1:15" ht="15.4" x14ac:dyDescent="0.45">
      <c r="A57" s="4" t="s">
        <v>21</v>
      </c>
      <c r="B57" s="4" t="s">
        <v>10</v>
      </c>
      <c r="C57" s="4">
        <v>200</v>
      </c>
      <c r="D57" t="s">
        <v>38</v>
      </c>
      <c r="E57" s="4" t="s">
        <v>21</v>
      </c>
      <c r="F57" t="s">
        <v>10</v>
      </c>
      <c r="G57" s="4">
        <v>200</v>
      </c>
      <c r="H57" t="s">
        <v>38</v>
      </c>
      <c r="I57" t="s">
        <v>52</v>
      </c>
      <c r="J57" t="s">
        <v>35</v>
      </c>
      <c r="K57" t="s">
        <v>14</v>
      </c>
      <c r="L57" t="s">
        <v>20</v>
      </c>
      <c r="M57" t="s">
        <v>73</v>
      </c>
      <c r="N57">
        <f>11384*1.852</f>
        <v>21083.168000000001</v>
      </c>
      <c r="O57">
        <v>20</v>
      </c>
    </row>
    <row r="58" spans="1:15" ht="15.4" x14ac:dyDescent="0.45">
      <c r="A58" s="4" t="s">
        <v>21</v>
      </c>
      <c r="B58" s="4" t="s">
        <v>10</v>
      </c>
      <c r="C58" s="4">
        <v>500</v>
      </c>
      <c r="D58" t="s">
        <v>48</v>
      </c>
      <c r="E58" s="4" t="s">
        <v>21</v>
      </c>
      <c r="F58" t="s">
        <v>10</v>
      </c>
      <c r="G58" s="4">
        <v>200</v>
      </c>
      <c r="H58" t="s">
        <v>38</v>
      </c>
      <c r="I58" t="s">
        <v>57</v>
      </c>
      <c r="J58" t="s">
        <v>58</v>
      </c>
      <c r="K58" t="s">
        <v>191</v>
      </c>
      <c r="L58" t="s">
        <v>14</v>
      </c>
      <c r="M58" t="s">
        <v>73</v>
      </c>
      <c r="N58">
        <f>3100*1.852</f>
        <v>5741.2000000000007</v>
      </c>
      <c r="O58">
        <v>63</v>
      </c>
    </row>
    <row r="59" spans="1:15" ht="15.4" x14ac:dyDescent="0.45">
      <c r="A59" s="4" t="s">
        <v>21</v>
      </c>
      <c r="B59" s="4" t="s">
        <v>10</v>
      </c>
      <c r="C59" s="4">
        <v>200</v>
      </c>
      <c r="D59" t="s">
        <v>38</v>
      </c>
      <c r="E59" s="4" t="s">
        <v>21</v>
      </c>
      <c r="F59" t="s">
        <v>10</v>
      </c>
      <c r="G59" s="4">
        <v>200</v>
      </c>
      <c r="H59" t="s">
        <v>38</v>
      </c>
      <c r="I59" t="s">
        <v>58</v>
      </c>
      <c r="J59" t="s">
        <v>35</v>
      </c>
      <c r="K59" t="s">
        <v>14</v>
      </c>
      <c r="L59" t="s">
        <v>20</v>
      </c>
      <c r="M59" t="s">
        <v>73</v>
      </c>
      <c r="N59">
        <f>11837*1.852</f>
        <v>21922.124</v>
      </c>
      <c r="O59">
        <v>21</v>
      </c>
    </row>
    <row r="60" spans="1:15" ht="15.4" x14ac:dyDescent="0.45">
      <c r="A60" s="4" t="s">
        <v>10</v>
      </c>
      <c r="B60" s="4" t="s">
        <v>10</v>
      </c>
      <c r="C60" s="4" t="s">
        <v>10</v>
      </c>
      <c r="D60" t="s">
        <v>38</v>
      </c>
      <c r="E60" t="s">
        <v>10</v>
      </c>
      <c r="F60" t="s">
        <v>10</v>
      </c>
      <c r="G60" s="4">
        <v>305</v>
      </c>
      <c r="H60" t="s">
        <v>38</v>
      </c>
      <c r="I60" t="s">
        <v>61</v>
      </c>
      <c r="J60" t="s">
        <v>61</v>
      </c>
      <c r="K60" t="s">
        <v>191</v>
      </c>
      <c r="L60" t="s">
        <v>14</v>
      </c>
      <c r="M60" t="s">
        <v>73</v>
      </c>
      <c r="N60">
        <f>492*1.852</f>
        <v>911.18400000000008</v>
      </c>
      <c r="O60">
        <v>64</v>
      </c>
    </row>
    <row r="61" spans="1:15" ht="15.4" x14ac:dyDescent="0.45">
      <c r="A61" s="4" t="s">
        <v>62</v>
      </c>
      <c r="B61" s="4" t="s">
        <v>63</v>
      </c>
      <c r="C61" s="4">
        <v>107</v>
      </c>
      <c r="D61" t="s">
        <v>38</v>
      </c>
      <c r="E61" s="4" t="s">
        <v>21</v>
      </c>
      <c r="F61" t="s">
        <v>10</v>
      </c>
      <c r="G61" s="4">
        <v>200</v>
      </c>
      <c r="H61" t="s">
        <v>38</v>
      </c>
      <c r="I61" t="s">
        <v>61</v>
      </c>
      <c r="J61" t="s">
        <v>35</v>
      </c>
      <c r="K61" t="s">
        <v>14</v>
      </c>
      <c r="L61" t="s">
        <v>20</v>
      </c>
      <c r="M61" t="s">
        <v>73</v>
      </c>
      <c r="N61">
        <f>11074*1.852</f>
        <v>20509.048000000003</v>
      </c>
      <c r="O61">
        <v>22</v>
      </c>
    </row>
    <row r="62" spans="1:15" ht="15.4" x14ac:dyDescent="0.45">
      <c r="A62" s="4" t="s">
        <v>45</v>
      </c>
      <c r="B62" s="4" t="s">
        <v>46</v>
      </c>
      <c r="C62" s="4">
        <v>1800</v>
      </c>
      <c r="D62" t="s">
        <v>38</v>
      </c>
      <c r="E62" s="4" t="s">
        <v>21</v>
      </c>
      <c r="F62" t="s">
        <v>10</v>
      </c>
      <c r="G62" s="4">
        <v>200</v>
      </c>
      <c r="H62" t="s">
        <v>38</v>
      </c>
      <c r="I62" t="s">
        <v>47</v>
      </c>
      <c r="J62" t="s">
        <v>66</v>
      </c>
      <c r="K62" t="s">
        <v>191</v>
      </c>
      <c r="L62" t="s">
        <v>14</v>
      </c>
      <c r="M62" t="s">
        <v>73</v>
      </c>
      <c r="N62">
        <f>3373*1.852</f>
        <v>6246.7960000000003</v>
      </c>
      <c r="O62">
        <v>65</v>
      </c>
    </row>
    <row r="63" spans="1:15" ht="15.4" x14ac:dyDescent="0.45">
      <c r="A63" s="4" t="s">
        <v>21</v>
      </c>
      <c r="B63" s="4" t="s">
        <v>10</v>
      </c>
      <c r="C63" s="4">
        <v>200</v>
      </c>
      <c r="D63" t="s">
        <v>38</v>
      </c>
      <c r="E63" s="4" t="s">
        <v>21</v>
      </c>
      <c r="F63" t="s">
        <v>10</v>
      </c>
      <c r="G63" s="4">
        <v>200</v>
      </c>
      <c r="H63" t="s">
        <v>38</v>
      </c>
      <c r="I63" t="s">
        <v>66</v>
      </c>
      <c r="J63" t="s">
        <v>35</v>
      </c>
      <c r="K63" t="s">
        <v>14</v>
      </c>
      <c r="L63" t="s">
        <v>20</v>
      </c>
      <c r="M63" t="s">
        <v>73</v>
      </c>
      <c r="N63">
        <f>7968*1.852</f>
        <v>14756.736000000001</v>
      </c>
      <c r="O63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7CFF-06BB-47E9-ACB8-18AC9DEE6123}">
  <dimension ref="A1:O82"/>
  <sheetViews>
    <sheetView topLeftCell="F60" workbookViewId="0">
      <selection activeCell="G65" sqref="G65:H65"/>
    </sheetView>
  </sheetViews>
  <sheetFormatPr defaultRowHeight="14.25" x14ac:dyDescent="0.45"/>
  <cols>
    <col min="1" max="1" width="26.73046875" customWidth="1"/>
    <col min="2" max="2" width="37.86328125" customWidth="1"/>
    <col min="3" max="3" width="16.59765625" customWidth="1"/>
    <col min="4" max="4" width="16.1328125" customWidth="1"/>
    <col min="5" max="5" width="43.1328125" customWidth="1"/>
    <col min="6" max="6" width="34.265625" customWidth="1"/>
    <col min="7" max="7" width="14.3984375" customWidth="1"/>
    <col min="8" max="8" width="18" customWidth="1"/>
    <col min="9" max="9" width="14.59765625" customWidth="1"/>
    <col min="10" max="10" width="17.73046875" customWidth="1"/>
    <col min="11" max="11" width="20.86328125" customWidth="1"/>
    <col min="12" max="12" width="16.3984375" customWidth="1"/>
    <col min="13" max="13" width="16.86328125" customWidth="1"/>
    <col min="14" max="14" width="18.1328125" customWidth="1"/>
  </cols>
  <sheetData>
    <row r="1" spans="1:15" s="1" customFormat="1" x14ac:dyDescent="0.4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71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36</v>
      </c>
      <c r="N1" s="1" t="s">
        <v>134</v>
      </c>
      <c r="O1" s="1" t="s">
        <v>190</v>
      </c>
    </row>
    <row r="2" spans="1:15" ht="15.4" x14ac:dyDescent="0.45">
      <c r="A2" s="4" t="s">
        <v>10</v>
      </c>
      <c r="B2" s="4" t="s">
        <v>10</v>
      </c>
      <c r="C2" s="4"/>
      <c r="D2" t="s">
        <v>38</v>
      </c>
      <c r="E2" s="4" t="s">
        <v>81</v>
      </c>
      <c r="F2" s="4" t="s">
        <v>82</v>
      </c>
      <c r="G2" s="4">
        <v>546</v>
      </c>
      <c r="H2" t="s">
        <v>38</v>
      </c>
      <c r="I2" t="s">
        <v>13</v>
      </c>
      <c r="J2" t="s">
        <v>13</v>
      </c>
      <c r="K2" t="s">
        <v>191</v>
      </c>
      <c r="L2" t="s">
        <v>14</v>
      </c>
      <c r="M2" t="s">
        <v>74</v>
      </c>
      <c r="O2" s="11">
        <v>38</v>
      </c>
    </row>
    <row r="3" spans="1:15" ht="15.4" x14ac:dyDescent="0.45">
      <c r="A3" s="4" t="s">
        <v>110</v>
      </c>
      <c r="B3" s="4" t="s">
        <v>111</v>
      </c>
      <c r="C3" s="4">
        <v>2030</v>
      </c>
      <c r="D3" t="s">
        <v>38</v>
      </c>
      <c r="E3" s="4" t="s">
        <v>83</v>
      </c>
      <c r="F3" s="4" t="s">
        <v>84</v>
      </c>
      <c r="G3" s="4">
        <v>200</v>
      </c>
      <c r="H3" t="s">
        <v>38</v>
      </c>
      <c r="I3" t="s">
        <v>75</v>
      </c>
      <c r="J3" t="s">
        <v>13</v>
      </c>
      <c r="K3" t="s">
        <v>191</v>
      </c>
      <c r="L3" t="s">
        <v>14</v>
      </c>
      <c r="M3" t="s">
        <v>74</v>
      </c>
      <c r="N3">
        <v>12971</v>
      </c>
      <c r="O3" s="11">
        <v>39</v>
      </c>
    </row>
    <row r="4" spans="1:15" ht="15.4" x14ac:dyDescent="0.45">
      <c r="A4" s="4" t="s">
        <v>10</v>
      </c>
      <c r="B4" s="4" t="s">
        <v>10</v>
      </c>
      <c r="C4" s="4"/>
      <c r="D4" t="s">
        <v>38</v>
      </c>
      <c r="E4" s="4" t="s">
        <v>81</v>
      </c>
      <c r="F4" s="4" t="s">
        <v>82</v>
      </c>
      <c r="G4" s="4">
        <v>546</v>
      </c>
      <c r="H4" t="s">
        <v>38</v>
      </c>
      <c r="I4" t="s">
        <v>13</v>
      </c>
      <c r="J4" t="s">
        <v>13</v>
      </c>
      <c r="K4" t="s">
        <v>14</v>
      </c>
      <c r="L4" t="s">
        <v>20</v>
      </c>
      <c r="M4" t="s">
        <v>74</v>
      </c>
      <c r="O4" s="4">
        <v>4</v>
      </c>
    </row>
    <row r="5" spans="1:15" ht="15.4" x14ac:dyDescent="0.45">
      <c r="A5" s="4" t="s">
        <v>10</v>
      </c>
      <c r="B5" s="4" t="s">
        <v>10</v>
      </c>
      <c r="C5" s="4"/>
      <c r="D5" t="s">
        <v>38</v>
      </c>
      <c r="E5" s="4" t="s">
        <v>85</v>
      </c>
      <c r="F5" s="4" t="s">
        <v>86</v>
      </c>
      <c r="G5" s="4">
        <v>220</v>
      </c>
      <c r="H5" t="s">
        <v>38</v>
      </c>
      <c r="I5" t="s">
        <v>75</v>
      </c>
      <c r="J5" t="s">
        <v>75</v>
      </c>
      <c r="K5" t="s">
        <v>191</v>
      </c>
      <c r="L5" t="s">
        <v>14</v>
      </c>
      <c r="M5" t="s">
        <v>74</v>
      </c>
      <c r="O5" s="4">
        <v>40</v>
      </c>
    </row>
    <row r="6" spans="1:15" ht="15.4" x14ac:dyDescent="0.45">
      <c r="A6" s="4" t="s">
        <v>110</v>
      </c>
      <c r="B6" s="4" t="s">
        <v>111</v>
      </c>
      <c r="C6" s="4">
        <v>2030</v>
      </c>
      <c r="D6" t="s">
        <v>38</v>
      </c>
      <c r="E6" s="4" t="s">
        <v>83</v>
      </c>
      <c r="F6" s="4" t="s">
        <v>84</v>
      </c>
      <c r="G6" s="4">
        <v>200</v>
      </c>
      <c r="H6" t="s">
        <v>38</v>
      </c>
      <c r="I6" t="s">
        <v>75</v>
      </c>
      <c r="J6" t="s">
        <v>13</v>
      </c>
      <c r="K6" t="s">
        <v>14</v>
      </c>
      <c r="L6" t="s">
        <v>20</v>
      </c>
      <c r="M6" t="s">
        <v>74</v>
      </c>
      <c r="N6">
        <v>12971</v>
      </c>
      <c r="O6" s="4">
        <v>5</v>
      </c>
    </row>
    <row r="7" spans="1:15" ht="15.4" x14ac:dyDescent="0.45">
      <c r="A7" s="4" t="s">
        <v>10</v>
      </c>
      <c r="B7" s="4" t="s">
        <v>10</v>
      </c>
      <c r="C7" s="4"/>
      <c r="D7" t="s">
        <v>38</v>
      </c>
      <c r="E7" s="4" t="s">
        <v>87</v>
      </c>
      <c r="F7" s="4" t="s">
        <v>88</v>
      </c>
      <c r="G7" s="4">
        <v>880</v>
      </c>
      <c r="H7" t="s">
        <v>38</v>
      </c>
      <c r="I7" t="s">
        <v>19</v>
      </c>
      <c r="J7" t="s">
        <v>19</v>
      </c>
      <c r="K7" t="s">
        <v>191</v>
      </c>
      <c r="L7" t="s">
        <v>14</v>
      </c>
      <c r="M7" t="s">
        <v>74</v>
      </c>
      <c r="O7" s="4">
        <v>41</v>
      </c>
    </row>
    <row r="8" spans="1:15" ht="15.4" x14ac:dyDescent="0.45">
      <c r="A8" s="4" t="s">
        <v>112</v>
      </c>
      <c r="B8" s="4" t="s">
        <v>113</v>
      </c>
      <c r="C8" s="4">
        <v>20</v>
      </c>
      <c r="D8" t="s">
        <v>38</v>
      </c>
      <c r="E8" s="4" t="s">
        <v>83</v>
      </c>
      <c r="F8" s="4" t="s">
        <v>84</v>
      </c>
      <c r="G8" s="4">
        <v>200</v>
      </c>
      <c r="H8" t="s">
        <v>38</v>
      </c>
      <c r="I8" t="s">
        <v>19</v>
      </c>
      <c r="J8" t="s">
        <v>13</v>
      </c>
      <c r="K8" t="s">
        <v>14</v>
      </c>
      <c r="L8" t="s">
        <v>20</v>
      </c>
      <c r="M8" t="s">
        <v>74</v>
      </c>
      <c r="N8">
        <f>4037*1.852</f>
        <v>7476.5240000000003</v>
      </c>
      <c r="O8" s="4">
        <v>6</v>
      </c>
    </row>
    <row r="9" spans="1:15" ht="15.4" x14ac:dyDescent="0.45">
      <c r="A9" s="4" t="s">
        <v>10</v>
      </c>
      <c r="B9" s="4" t="s">
        <v>10</v>
      </c>
      <c r="C9" s="4"/>
      <c r="D9" t="s">
        <v>38</v>
      </c>
      <c r="E9" s="4" t="s">
        <v>89</v>
      </c>
      <c r="F9" s="4" t="s">
        <v>90</v>
      </c>
      <c r="G9" s="4">
        <v>71</v>
      </c>
      <c r="H9" t="s">
        <v>38</v>
      </c>
      <c r="I9" t="s">
        <v>76</v>
      </c>
      <c r="J9" t="s">
        <v>76</v>
      </c>
      <c r="K9" t="s">
        <v>191</v>
      </c>
      <c r="L9" t="s">
        <v>14</v>
      </c>
      <c r="M9" t="s">
        <v>74</v>
      </c>
      <c r="O9" s="4">
        <v>42</v>
      </c>
    </row>
    <row r="10" spans="1:15" ht="15.4" x14ac:dyDescent="0.45">
      <c r="A10" s="4" t="s">
        <v>114</v>
      </c>
      <c r="B10" s="4" t="s">
        <v>115</v>
      </c>
      <c r="C10" s="4">
        <v>52</v>
      </c>
      <c r="D10" t="s">
        <v>38</v>
      </c>
      <c r="E10" s="4" t="s">
        <v>83</v>
      </c>
      <c r="F10" s="4" t="s">
        <v>84</v>
      </c>
      <c r="G10" s="4">
        <v>200</v>
      </c>
      <c r="H10" t="s">
        <v>38</v>
      </c>
      <c r="I10" t="s">
        <v>76</v>
      </c>
      <c r="J10" t="s">
        <v>13</v>
      </c>
      <c r="K10" t="s">
        <v>14</v>
      </c>
      <c r="L10" t="s">
        <v>20</v>
      </c>
      <c r="M10" t="s">
        <v>74</v>
      </c>
      <c r="N10">
        <f>10530*1.852</f>
        <v>19501.560000000001</v>
      </c>
      <c r="O10" s="4">
        <v>7</v>
      </c>
    </row>
    <row r="11" spans="1:15" ht="15.4" x14ac:dyDescent="0.45">
      <c r="A11" s="4" t="s">
        <v>10</v>
      </c>
      <c r="B11" s="4" t="s">
        <v>10</v>
      </c>
      <c r="C11" s="4"/>
      <c r="D11" t="s">
        <v>38</v>
      </c>
      <c r="E11" s="4" t="s">
        <v>91</v>
      </c>
      <c r="F11" s="4" t="s">
        <v>92</v>
      </c>
      <c r="G11" s="4">
        <v>500</v>
      </c>
      <c r="H11" t="s">
        <v>48</v>
      </c>
      <c r="I11" t="s">
        <v>57</v>
      </c>
      <c r="J11" t="s">
        <v>57</v>
      </c>
      <c r="K11" t="s">
        <v>191</v>
      </c>
      <c r="L11" t="s">
        <v>14</v>
      </c>
      <c r="M11" t="s">
        <v>74</v>
      </c>
      <c r="O11" s="4">
        <v>43</v>
      </c>
    </row>
    <row r="12" spans="1:15" ht="15.4" x14ac:dyDescent="0.45">
      <c r="A12" s="4" t="s">
        <v>116</v>
      </c>
      <c r="B12" s="4" t="s">
        <v>92</v>
      </c>
      <c r="C12" s="4">
        <v>505</v>
      </c>
      <c r="D12" t="s">
        <v>48</v>
      </c>
      <c r="E12" s="4" t="s">
        <v>83</v>
      </c>
      <c r="F12" s="4" t="s">
        <v>84</v>
      </c>
      <c r="G12" s="4">
        <v>200</v>
      </c>
      <c r="H12" t="s">
        <v>38</v>
      </c>
      <c r="I12" t="s">
        <v>57</v>
      </c>
      <c r="J12" t="s">
        <v>13</v>
      </c>
      <c r="K12" t="s">
        <v>14</v>
      </c>
      <c r="L12" t="s">
        <v>20</v>
      </c>
      <c r="M12" t="s">
        <v>74</v>
      </c>
      <c r="N12">
        <f>12091*1.852</f>
        <v>22392.532000000003</v>
      </c>
      <c r="O12" s="4">
        <v>8</v>
      </c>
    </row>
    <row r="13" spans="1:15" ht="15.4" x14ac:dyDescent="0.45">
      <c r="A13" s="4" t="s">
        <v>10</v>
      </c>
      <c r="B13" s="4" t="s">
        <v>10</v>
      </c>
      <c r="C13" s="4"/>
      <c r="D13" t="s">
        <v>38</v>
      </c>
      <c r="E13" s="4" t="s">
        <v>93</v>
      </c>
      <c r="F13" s="4" t="s">
        <v>94</v>
      </c>
      <c r="G13" s="4">
        <v>300</v>
      </c>
      <c r="H13" t="s">
        <v>38</v>
      </c>
      <c r="I13" t="s">
        <v>58</v>
      </c>
      <c r="J13" t="s">
        <v>58</v>
      </c>
      <c r="K13" t="s">
        <v>191</v>
      </c>
      <c r="L13" t="s">
        <v>14</v>
      </c>
      <c r="M13" t="s">
        <v>74</v>
      </c>
      <c r="O13" s="4">
        <v>44</v>
      </c>
    </row>
    <row r="14" spans="1:15" ht="15.4" x14ac:dyDescent="0.45">
      <c r="A14" s="4" t="s">
        <v>117</v>
      </c>
      <c r="B14" s="4" t="s">
        <v>118</v>
      </c>
      <c r="C14" s="4">
        <v>227</v>
      </c>
      <c r="D14" t="s">
        <v>38</v>
      </c>
      <c r="E14" s="4" t="s">
        <v>83</v>
      </c>
      <c r="F14" s="4" t="s">
        <v>84</v>
      </c>
      <c r="G14" s="4">
        <v>200</v>
      </c>
      <c r="H14" t="s">
        <v>38</v>
      </c>
      <c r="I14" t="s">
        <v>58</v>
      </c>
      <c r="J14" t="s">
        <v>13</v>
      </c>
      <c r="K14" t="s">
        <v>14</v>
      </c>
      <c r="L14" t="s">
        <v>20</v>
      </c>
      <c r="M14" t="s">
        <v>74</v>
      </c>
      <c r="N14">
        <f>11613*1.852</f>
        <v>21507.276000000002</v>
      </c>
      <c r="O14" s="4">
        <v>9</v>
      </c>
    </row>
    <row r="15" spans="1:15" ht="15.4" x14ac:dyDescent="0.45">
      <c r="A15" s="4" t="s">
        <v>10</v>
      </c>
      <c r="B15" s="4" t="s">
        <v>10</v>
      </c>
      <c r="C15" s="4"/>
      <c r="D15" t="s">
        <v>38</v>
      </c>
      <c r="E15" s="4" t="s">
        <v>95</v>
      </c>
      <c r="F15" s="4" t="s">
        <v>10</v>
      </c>
      <c r="G15" s="4">
        <v>5</v>
      </c>
      <c r="H15" t="s">
        <v>38</v>
      </c>
      <c r="I15" t="s">
        <v>77</v>
      </c>
      <c r="J15" t="s">
        <v>77</v>
      </c>
      <c r="K15" t="s">
        <v>191</v>
      </c>
      <c r="L15" t="s">
        <v>14</v>
      </c>
      <c r="M15" t="s">
        <v>74</v>
      </c>
      <c r="O15" s="4">
        <v>45</v>
      </c>
    </row>
    <row r="16" spans="1:15" ht="15.4" x14ac:dyDescent="0.45">
      <c r="A16" s="4" t="s">
        <v>119</v>
      </c>
      <c r="B16" s="4" t="s">
        <v>120</v>
      </c>
      <c r="C16" s="4">
        <v>240</v>
      </c>
      <c r="D16" t="s">
        <v>38</v>
      </c>
      <c r="E16" s="4" t="s">
        <v>83</v>
      </c>
      <c r="F16" s="4" t="s">
        <v>84</v>
      </c>
      <c r="G16" s="4">
        <v>200</v>
      </c>
      <c r="H16" t="s">
        <v>38</v>
      </c>
      <c r="I16" t="s">
        <v>77</v>
      </c>
      <c r="J16" t="s">
        <v>13</v>
      </c>
      <c r="K16" t="s">
        <v>14</v>
      </c>
      <c r="L16" t="s">
        <v>20</v>
      </c>
      <c r="M16" t="s">
        <v>74</v>
      </c>
      <c r="N16">
        <f>5907*1.852</f>
        <v>10939.764000000001</v>
      </c>
      <c r="O16" s="4">
        <v>10</v>
      </c>
    </row>
    <row r="17" spans="1:15" ht="15.4" x14ac:dyDescent="0.45">
      <c r="A17" s="4" t="s">
        <v>110</v>
      </c>
      <c r="B17" s="4" t="s">
        <v>111</v>
      </c>
      <c r="C17" s="4">
        <v>2030</v>
      </c>
      <c r="D17" t="s">
        <v>38</v>
      </c>
      <c r="E17" s="4" t="s">
        <v>96</v>
      </c>
      <c r="F17" s="4" t="s">
        <v>97</v>
      </c>
      <c r="G17" s="4">
        <v>822</v>
      </c>
      <c r="H17" t="s">
        <v>38</v>
      </c>
      <c r="I17" t="s">
        <v>75</v>
      </c>
      <c r="J17" t="s">
        <v>78</v>
      </c>
      <c r="K17" t="s">
        <v>191</v>
      </c>
      <c r="L17" t="s">
        <v>14</v>
      </c>
      <c r="M17" t="s">
        <v>74</v>
      </c>
      <c r="N17">
        <f>5070*1.852</f>
        <v>9389.6400000000012</v>
      </c>
      <c r="O17" s="4">
        <v>46</v>
      </c>
    </row>
    <row r="18" spans="1:15" ht="15.4" x14ac:dyDescent="0.45">
      <c r="A18" s="4" t="s">
        <v>10</v>
      </c>
      <c r="B18" s="4" t="s">
        <v>10</v>
      </c>
      <c r="C18" s="4"/>
      <c r="D18" t="s">
        <v>38</v>
      </c>
      <c r="E18" s="4" t="s">
        <v>21</v>
      </c>
      <c r="F18" s="4" t="s">
        <v>10</v>
      </c>
      <c r="G18" s="4">
        <v>200</v>
      </c>
      <c r="H18" t="s">
        <v>38</v>
      </c>
      <c r="I18" t="s">
        <v>78</v>
      </c>
      <c r="J18" t="s">
        <v>78</v>
      </c>
      <c r="K18" t="s">
        <v>191</v>
      </c>
      <c r="L18" t="s">
        <v>14</v>
      </c>
      <c r="M18" t="s">
        <v>74</v>
      </c>
      <c r="O18" s="4">
        <v>47</v>
      </c>
    </row>
    <row r="19" spans="1:15" ht="15.4" x14ac:dyDescent="0.45">
      <c r="A19" s="4" t="s">
        <v>105</v>
      </c>
      <c r="B19" s="4" t="s">
        <v>97</v>
      </c>
      <c r="C19" s="4">
        <v>822</v>
      </c>
      <c r="D19" t="s">
        <v>38</v>
      </c>
      <c r="E19" s="4" t="s">
        <v>83</v>
      </c>
      <c r="F19" s="4" t="s">
        <v>84</v>
      </c>
      <c r="G19" s="4">
        <v>200</v>
      </c>
      <c r="H19" t="s">
        <v>38</v>
      </c>
      <c r="I19" t="s">
        <v>78</v>
      </c>
      <c r="J19" t="s">
        <v>13</v>
      </c>
      <c r="K19" t="s">
        <v>14</v>
      </c>
      <c r="L19" t="s">
        <v>20</v>
      </c>
      <c r="M19" t="s">
        <v>74</v>
      </c>
      <c r="N19">
        <f>9597*1.852</f>
        <v>17773.644</v>
      </c>
      <c r="O19" s="4">
        <v>11</v>
      </c>
    </row>
    <row r="20" spans="1:15" ht="15.4" x14ac:dyDescent="0.45">
      <c r="A20" s="4" t="s">
        <v>10</v>
      </c>
      <c r="B20" s="4" t="s">
        <v>10</v>
      </c>
      <c r="C20" s="4"/>
      <c r="D20" t="s">
        <v>38</v>
      </c>
      <c r="E20" s="4" t="s">
        <v>98</v>
      </c>
      <c r="F20" s="4" t="s">
        <v>99</v>
      </c>
      <c r="G20" s="4">
        <v>545</v>
      </c>
      <c r="H20" t="s">
        <v>38</v>
      </c>
      <c r="I20" t="s">
        <v>66</v>
      </c>
      <c r="J20" t="s">
        <v>66</v>
      </c>
      <c r="K20" t="s">
        <v>191</v>
      </c>
      <c r="L20" t="s">
        <v>14</v>
      </c>
      <c r="M20" t="s">
        <v>74</v>
      </c>
      <c r="O20" s="4">
        <v>48</v>
      </c>
    </row>
    <row r="21" spans="1:15" ht="15.4" x14ac:dyDescent="0.45">
      <c r="A21" s="4" t="s">
        <v>121</v>
      </c>
      <c r="B21" s="4" t="s">
        <v>99</v>
      </c>
      <c r="C21" s="4">
        <v>712</v>
      </c>
      <c r="D21" t="s">
        <v>38</v>
      </c>
      <c r="E21" s="4" t="s">
        <v>83</v>
      </c>
      <c r="F21" s="4" t="s">
        <v>84</v>
      </c>
      <c r="G21" s="4">
        <v>200</v>
      </c>
      <c r="H21" t="s">
        <v>38</v>
      </c>
      <c r="I21" t="s">
        <v>66</v>
      </c>
      <c r="J21" t="s">
        <v>13</v>
      </c>
      <c r="K21" t="s">
        <v>14</v>
      </c>
      <c r="L21" t="s">
        <v>20</v>
      </c>
      <c r="M21" t="s">
        <v>74</v>
      </c>
      <c r="N21">
        <f>7015*1.852</f>
        <v>12991.78</v>
      </c>
      <c r="O21" s="4">
        <v>12</v>
      </c>
    </row>
    <row r="22" spans="1:15" ht="15.4" x14ac:dyDescent="0.45">
      <c r="A22" s="4" t="s">
        <v>10</v>
      </c>
      <c r="B22" s="4" t="s">
        <v>10</v>
      </c>
      <c r="C22" s="4"/>
      <c r="D22" t="s">
        <v>38</v>
      </c>
      <c r="E22" s="4" t="s">
        <v>95</v>
      </c>
      <c r="F22" s="4" t="s">
        <v>10</v>
      </c>
      <c r="G22" s="4">
        <v>5</v>
      </c>
      <c r="H22" t="s">
        <v>38</v>
      </c>
      <c r="I22" t="s">
        <v>79</v>
      </c>
      <c r="J22" t="s">
        <v>79</v>
      </c>
      <c r="K22" t="s">
        <v>191</v>
      </c>
      <c r="L22" t="s">
        <v>14</v>
      </c>
      <c r="M22" t="s">
        <v>74</v>
      </c>
      <c r="O22" s="4">
        <v>49</v>
      </c>
    </row>
    <row r="23" spans="1:15" ht="15.4" x14ac:dyDescent="0.45">
      <c r="A23" s="4" t="s">
        <v>122</v>
      </c>
      <c r="B23" s="4" t="s">
        <v>123</v>
      </c>
      <c r="C23" s="4">
        <v>2511</v>
      </c>
      <c r="D23" t="s">
        <v>38</v>
      </c>
      <c r="E23" s="4" t="s">
        <v>83</v>
      </c>
      <c r="F23" s="4" t="s">
        <v>84</v>
      </c>
      <c r="G23" s="4">
        <v>200</v>
      </c>
      <c r="H23" t="s">
        <v>38</v>
      </c>
      <c r="I23" t="s">
        <v>79</v>
      </c>
      <c r="J23" t="s">
        <v>13</v>
      </c>
      <c r="K23" t="s">
        <v>14</v>
      </c>
      <c r="L23" t="s">
        <v>20</v>
      </c>
      <c r="M23" t="s">
        <v>74</v>
      </c>
      <c r="N23">
        <f>7015*1.852</f>
        <v>12991.78</v>
      </c>
      <c r="O23" s="4">
        <v>13</v>
      </c>
    </row>
    <row r="24" spans="1:15" ht="15.4" x14ac:dyDescent="0.45">
      <c r="A24" s="4" t="s">
        <v>10</v>
      </c>
      <c r="B24" s="4" t="s">
        <v>10</v>
      </c>
      <c r="C24" s="4"/>
      <c r="D24" t="s">
        <v>38</v>
      </c>
      <c r="E24" s="4" t="s">
        <v>81</v>
      </c>
      <c r="F24" s="4" t="s">
        <v>82</v>
      </c>
      <c r="G24" s="4">
        <v>546</v>
      </c>
      <c r="H24" t="s">
        <v>38</v>
      </c>
      <c r="I24" t="s">
        <v>13</v>
      </c>
      <c r="J24" t="s">
        <v>13</v>
      </c>
      <c r="K24" t="s">
        <v>191</v>
      </c>
      <c r="L24" t="s">
        <v>14</v>
      </c>
      <c r="M24" t="s">
        <v>74</v>
      </c>
      <c r="O24" s="4">
        <v>50</v>
      </c>
    </row>
    <row r="25" spans="1:15" ht="15.4" x14ac:dyDescent="0.45">
      <c r="A25" s="4" t="s">
        <v>110</v>
      </c>
      <c r="B25" s="4" t="s">
        <v>111</v>
      </c>
      <c r="C25" s="4">
        <v>2030</v>
      </c>
      <c r="D25" t="s">
        <v>38</v>
      </c>
      <c r="E25" s="4" t="s">
        <v>83</v>
      </c>
      <c r="F25" s="4" t="s">
        <v>84</v>
      </c>
      <c r="G25" s="4">
        <v>200</v>
      </c>
      <c r="H25" t="s">
        <v>38</v>
      </c>
      <c r="I25" t="s">
        <v>75</v>
      </c>
      <c r="J25" t="s">
        <v>13</v>
      </c>
      <c r="K25" t="s">
        <v>191</v>
      </c>
      <c r="L25" t="s">
        <v>14</v>
      </c>
      <c r="M25" t="s">
        <v>74</v>
      </c>
      <c r="N25">
        <f>8931*1.852</f>
        <v>16540.212</v>
      </c>
      <c r="O25" s="4">
        <v>51</v>
      </c>
    </row>
    <row r="26" spans="1:15" ht="15.4" x14ac:dyDescent="0.45">
      <c r="A26" s="4" t="s">
        <v>83</v>
      </c>
      <c r="B26" s="4" t="s">
        <v>84</v>
      </c>
      <c r="C26" s="4">
        <v>200</v>
      </c>
      <c r="D26" t="s">
        <v>38</v>
      </c>
      <c r="E26" s="4" t="s">
        <v>21</v>
      </c>
      <c r="F26" s="4" t="s">
        <v>10</v>
      </c>
      <c r="G26" s="4">
        <v>200</v>
      </c>
      <c r="H26" t="s">
        <v>38</v>
      </c>
      <c r="I26" t="s">
        <v>13</v>
      </c>
      <c r="J26" t="s">
        <v>30</v>
      </c>
      <c r="K26" t="s">
        <v>14</v>
      </c>
      <c r="L26" t="s">
        <v>20</v>
      </c>
      <c r="M26" t="s">
        <v>74</v>
      </c>
      <c r="N26">
        <f>761*1.852</f>
        <v>1409.3720000000001</v>
      </c>
      <c r="O26" s="4">
        <v>14</v>
      </c>
    </row>
    <row r="27" spans="1:15" ht="15.4" x14ac:dyDescent="0.45">
      <c r="A27" s="4" t="s">
        <v>10</v>
      </c>
      <c r="B27" s="4" t="s">
        <v>10</v>
      </c>
      <c r="C27" s="4"/>
      <c r="D27" t="s">
        <v>38</v>
      </c>
      <c r="E27" s="4" t="s">
        <v>21</v>
      </c>
      <c r="F27" s="4" t="s">
        <v>10</v>
      </c>
      <c r="G27" s="4">
        <v>200</v>
      </c>
      <c r="H27" t="s">
        <v>38</v>
      </c>
      <c r="I27" t="s">
        <v>30</v>
      </c>
      <c r="J27" t="s">
        <v>30</v>
      </c>
      <c r="K27" t="s">
        <v>191</v>
      </c>
      <c r="L27" t="s">
        <v>14</v>
      </c>
      <c r="M27" t="s">
        <v>74</v>
      </c>
      <c r="O27" s="4">
        <v>52</v>
      </c>
    </row>
    <row r="28" spans="1:15" ht="15.4" x14ac:dyDescent="0.45">
      <c r="A28" s="4" t="s">
        <v>10</v>
      </c>
      <c r="B28" s="4" t="s">
        <v>10</v>
      </c>
      <c r="C28" s="4"/>
      <c r="D28" t="s">
        <v>38</v>
      </c>
      <c r="E28" s="4" t="s">
        <v>21</v>
      </c>
      <c r="F28" s="4" t="s">
        <v>10</v>
      </c>
      <c r="G28" s="4">
        <v>200</v>
      </c>
      <c r="H28" t="s">
        <v>38</v>
      </c>
      <c r="I28" t="s">
        <v>30</v>
      </c>
      <c r="J28" t="s">
        <v>30</v>
      </c>
      <c r="K28" t="s">
        <v>14</v>
      </c>
      <c r="L28" t="s">
        <v>20</v>
      </c>
      <c r="M28" t="s">
        <v>74</v>
      </c>
      <c r="O28" s="4">
        <v>15</v>
      </c>
    </row>
    <row r="29" spans="1:15" ht="16.5" x14ac:dyDescent="0.45">
      <c r="A29" s="4" t="s">
        <v>10</v>
      </c>
      <c r="B29" s="4" t="s">
        <v>10</v>
      </c>
      <c r="C29" s="4"/>
      <c r="D29" t="s">
        <v>38</v>
      </c>
      <c r="E29" s="5" t="s">
        <v>100</v>
      </c>
      <c r="F29" s="5" t="s">
        <v>101</v>
      </c>
      <c r="G29" s="4">
        <v>880</v>
      </c>
      <c r="H29" t="s">
        <v>38</v>
      </c>
      <c r="I29" t="s">
        <v>19</v>
      </c>
      <c r="J29" t="s">
        <v>19</v>
      </c>
      <c r="K29" t="s">
        <v>191</v>
      </c>
      <c r="L29" t="s">
        <v>14</v>
      </c>
      <c r="M29" t="s">
        <v>74</v>
      </c>
      <c r="O29" s="4">
        <v>53</v>
      </c>
    </row>
    <row r="30" spans="1:15" ht="16.5" x14ac:dyDescent="0.45">
      <c r="A30" s="5" t="s">
        <v>88</v>
      </c>
      <c r="B30" s="5" t="s">
        <v>113</v>
      </c>
      <c r="C30" s="4">
        <v>20</v>
      </c>
      <c r="D30" t="s">
        <v>38</v>
      </c>
      <c r="E30" s="4" t="s">
        <v>21</v>
      </c>
      <c r="F30" s="4" t="s">
        <v>10</v>
      </c>
      <c r="G30" s="4">
        <v>200</v>
      </c>
      <c r="H30" t="s">
        <v>38</v>
      </c>
      <c r="I30" t="s">
        <v>19</v>
      </c>
      <c r="J30" t="s">
        <v>30</v>
      </c>
      <c r="K30" t="s">
        <v>14</v>
      </c>
      <c r="L30" t="s">
        <v>20</v>
      </c>
      <c r="M30" t="s">
        <v>74</v>
      </c>
      <c r="N30">
        <f>4012*1.852</f>
        <v>7430.2240000000002</v>
      </c>
      <c r="O30" s="4">
        <v>16</v>
      </c>
    </row>
    <row r="31" spans="1:15" ht="16.5" x14ac:dyDescent="0.45">
      <c r="A31" s="4" t="s">
        <v>10</v>
      </c>
      <c r="B31" s="4" t="s">
        <v>10</v>
      </c>
      <c r="C31" s="4"/>
      <c r="D31" t="s">
        <v>38</v>
      </c>
      <c r="E31" s="5" t="s">
        <v>89</v>
      </c>
      <c r="F31" s="5" t="s">
        <v>90</v>
      </c>
      <c r="G31" s="4">
        <v>71</v>
      </c>
      <c r="H31" t="s">
        <v>38</v>
      </c>
      <c r="I31" t="s">
        <v>76</v>
      </c>
      <c r="J31" t="s">
        <v>76</v>
      </c>
      <c r="K31" t="s">
        <v>191</v>
      </c>
      <c r="L31" t="s">
        <v>14</v>
      </c>
      <c r="M31" t="s">
        <v>74</v>
      </c>
      <c r="O31" s="4">
        <v>54</v>
      </c>
    </row>
    <row r="32" spans="1:15" ht="16.5" x14ac:dyDescent="0.45">
      <c r="A32" s="5" t="s">
        <v>124</v>
      </c>
      <c r="B32" s="5" t="s">
        <v>115</v>
      </c>
      <c r="C32" s="4">
        <v>52</v>
      </c>
      <c r="D32" t="s">
        <v>38</v>
      </c>
      <c r="E32" s="4" t="s">
        <v>21</v>
      </c>
      <c r="F32" s="4" t="s">
        <v>10</v>
      </c>
      <c r="G32" s="4">
        <v>200</v>
      </c>
      <c r="H32" t="s">
        <v>38</v>
      </c>
      <c r="I32" t="s">
        <v>76</v>
      </c>
      <c r="J32" t="s">
        <v>30</v>
      </c>
      <c r="K32" t="s">
        <v>14</v>
      </c>
      <c r="L32" t="s">
        <v>20</v>
      </c>
      <c r="M32" t="s">
        <v>74</v>
      </c>
      <c r="N32">
        <f>10999*1.852</f>
        <v>20370.148000000001</v>
      </c>
      <c r="O32" s="4">
        <v>17</v>
      </c>
    </row>
    <row r="33" spans="1:15" ht="16.5" x14ac:dyDescent="0.45">
      <c r="A33" s="4" t="s">
        <v>10</v>
      </c>
      <c r="B33" s="4" t="s">
        <v>10</v>
      </c>
      <c r="C33" s="4"/>
      <c r="D33" t="s">
        <v>38</v>
      </c>
      <c r="E33" s="5" t="s">
        <v>91</v>
      </c>
      <c r="F33" s="5" t="s">
        <v>102</v>
      </c>
      <c r="G33" s="4">
        <v>500</v>
      </c>
      <c r="H33" t="s">
        <v>48</v>
      </c>
      <c r="I33" t="s">
        <v>57</v>
      </c>
      <c r="J33" t="s">
        <v>57</v>
      </c>
      <c r="K33" t="s">
        <v>191</v>
      </c>
      <c r="L33" t="s">
        <v>14</v>
      </c>
      <c r="M33" t="s">
        <v>74</v>
      </c>
      <c r="O33" s="4">
        <v>55</v>
      </c>
    </row>
    <row r="34" spans="1:15" ht="16.5" x14ac:dyDescent="0.45">
      <c r="A34" s="5" t="s">
        <v>125</v>
      </c>
      <c r="B34" s="5" t="s">
        <v>102</v>
      </c>
      <c r="C34" s="4">
        <v>505</v>
      </c>
      <c r="D34" t="s">
        <v>48</v>
      </c>
      <c r="E34" s="4" t="s">
        <v>21</v>
      </c>
      <c r="F34" s="4" t="s">
        <v>10</v>
      </c>
      <c r="G34" s="4">
        <v>200</v>
      </c>
      <c r="H34" t="s">
        <v>38</v>
      </c>
      <c r="I34" t="s">
        <v>57</v>
      </c>
      <c r="J34" t="s">
        <v>30</v>
      </c>
      <c r="K34" t="s">
        <v>14</v>
      </c>
      <c r="L34" t="s">
        <v>20</v>
      </c>
      <c r="M34" t="s">
        <v>74</v>
      </c>
      <c r="N34">
        <f>10663*1.852</f>
        <v>19747.876</v>
      </c>
      <c r="O34" s="4">
        <v>18</v>
      </c>
    </row>
    <row r="35" spans="1:15" ht="16.5" x14ac:dyDescent="0.45">
      <c r="A35" s="4" t="s">
        <v>10</v>
      </c>
      <c r="B35" s="4" t="s">
        <v>10</v>
      </c>
      <c r="C35" s="4"/>
      <c r="D35" t="s">
        <v>38</v>
      </c>
      <c r="E35" s="5" t="s">
        <v>93</v>
      </c>
      <c r="F35" s="5" t="s">
        <v>94</v>
      </c>
      <c r="G35" s="4">
        <v>300</v>
      </c>
      <c r="H35" t="s">
        <v>38</v>
      </c>
      <c r="I35" t="s">
        <v>58</v>
      </c>
      <c r="J35" t="s">
        <v>58</v>
      </c>
      <c r="K35" t="s">
        <v>191</v>
      </c>
      <c r="L35" t="s">
        <v>14</v>
      </c>
      <c r="M35" t="s">
        <v>74</v>
      </c>
      <c r="O35" s="4">
        <v>56</v>
      </c>
    </row>
    <row r="36" spans="1:15" ht="15.4" x14ac:dyDescent="0.45">
      <c r="A36" s="4" t="s">
        <v>117</v>
      </c>
      <c r="B36" s="4" t="s">
        <v>118</v>
      </c>
      <c r="C36" s="4">
        <v>227</v>
      </c>
      <c r="D36" t="s">
        <v>38</v>
      </c>
      <c r="E36" s="4" t="s">
        <v>21</v>
      </c>
      <c r="F36" s="4" t="s">
        <v>10</v>
      </c>
      <c r="G36" s="4">
        <v>200</v>
      </c>
      <c r="H36" t="s">
        <v>38</v>
      </c>
      <c r="I36" t="s">
        <v>58</v>
      </c>
      <c r="J36" t="s">
        <v>30</v>
      </c>
      <c r="K36" t="s">
        <v>14</v>
      </c>
      <c r="L36" t="s">
        <v>20</v>
      </c>
      <c r="M36" t="s">
        <v>74</v>
      </c>
      <c r="N36">
        <f>12040*1.852</f>
        <v>22298.080000000002</v>
      </c>
      <c r="O36" s="4">
        <v>19</v>
      </c>
    </row>
    <row r="37" spans="1:15" ht="15.4" x14ac:dyDescent="0.45">
      <c r="A37" s="4" t="s">
        <v>10</v>
      </c>
      <c r="B37" s="4" t="s">
        <v>10</v>
      </c>
      <c r="E37" s="4" t="s">
        <v>103</v>
      </c>
      <c r="F37" s="4" t="s">
        <v>104</v>
      </c>
      <c r="G37" s="4">
        <v>1444</v>
      </c>
      <c r="H37" t="s">
        <v>48</v>
      </c>
      <c r="I37" t="s">
        <v>80</v>
      </c>
      <c r="J37" t="s">
        <v>80</v>
      </c>
      <c r="K37" t="s">
        <v>191</v>
      </c>
      <c r="L37" t="s">
        <v>14</v>
      </c>
      <c r="M37" t="s">
        <v>74</v>
      </c>
      <c r="O37" s="4">
        <v>57</v>
      </c>
    </row>
    <row r="38" spans="1:15" ht="15.4" x14ac:dyDescent="0.45">
      <c r="A38" s="4" t="s">
        <v>103</v>
      </c>
      <c r="B38" s="4" t="s">
        <v>126</v>
      </c>
      <c r="C38" s="4">
        <v>590</v>
      </c>
      <c r="D38" t="s">
        <v>38</v>
      </c>
      <c r="E38" s="4" t="s">
        <v>21</v>
      </c>
      <c r="F38" s="4" t="s">
        <v>10</v>
      </c>
      <c r="G38" s="4">
        <v>200</v>
      </c>
      <c r="H38" t="s">
        <v>38</v>
      </c>
      <c r="I38" t="s">
        <v>80</v>
      </c>
      <c r="J38" t="s">
        <v>30</v>
      </c>
      <c r="K38" t="s">
        <v>14</v>
      </c>
      <c r="L38" t="s">
        <v>20</v>
      </c>
      <c r="M38" t="s">
        <v>74</v>
      </c>
      <c r="N38">
        <f>4641*1.852</f>
        <v>8595.1319999999996</v>
      </c>
      <c r="O38" s="4">
        <v>20</v>
      </c>
    </row>
    <row r="39" spans="1:15" ht="15.4" x14ac:dyDescent="0.45">
      <c r="A39" s="4" t="s">
        <v>10</v>
      </c>
      <c r="B39" s="4" t="s">
        <v>10</v>
      </c>
      <c r="C39" s="4"/>
      <c r="D39" t="s">
        <v>38</v>
      </c>
      <c r="E39" s="4" t="s">
        <v>95</v>
      </c>
      <c r="F39" s="4" t="s">
        <v>10</v>
      </c>
      <c r="G39" s="4">
        <v>5</v>
      </c>
      <c r="H39" t="s">
        <v>38</v>
      </c>
      <c r="I39" t="s">
        <v>77</v>
      </c>
      <c r="J39" t="s">
        <v>77</v>
      </c>
      <c r="K39" t="s">
        <v>191</v>
      </c>
      <c r="L39" t="s">
        <v>14</v>
      </c>
      <c r="M39" t="s">
        <v>74</v>
      </c>
      <c r="O39" s="4">
        <v>58</v>
      </c>
    </row>
    <row r="40" spans="1:15" ht="15.4" x14ac:dyDescent="0.45">
      <c r="A40" s="4" t="s">
        <v>127</v>
      </c>
      <c r="B40" s="4" t="s">
        <v>120</v>
      </c>
      <c r="C40" s="4">
        <v>240</v>
      </c>
      <c r="D40" t="s">
        <v>38</v>
      </c>
      <c r="E40" s="4" t="s">
        <v>21</v>
      </c>
      <c r="F40" s="4" t="s">
        <v>10</v>
      </c>
      <c r="G40" s="4">
        <v>200</v>
      </c>
      <c r="H40" t="s">
        <v>38</v>
      </c>
      <c r="I40" t="s">
        <v>77</v>
      </c>
      <c r="J40" t="s">
        <v>30</v>
      </c>
      <c r="K40" t="s">
        <v>14</v>
      </c>
      <c r="L40" t="s">
        <v>20</v>
      </c>
      <c r="M40" t="s">
        <v>74</v>
      </c>
      <c r="N40">
        <f>6380*1.852</f>
        <v>11815.76</v>
      </c>
      <c r="O40" s="4">
        <v>21</v>
      </c>
    </row>
    <row r="41" spans="1:15" ht="15.4" x14ac:dyDescent="0.45">
      <c r="A41" s="4" t="s">
        <v>110</v>
      </c>
      <c r="B41" s="4" t="s">
        <v>111</v>
      </c>
      <c r="C41" s="4">
        <v>2030</v>
      </c>
      <c r="D41" t="s">
        <v>38</v>
      </c>
      <c r="E41" s="4" t="s">
        <v>105</v>
      </c>
      <c r="F41" s="4" t="s">
        <v>97</v>
      </c>
      <c r="G41" s="4">
        <v>822</v>
      </c>
      <c r="H41" t="s">
        <v>38</v>
      </c>
      <c r="I41" t="s">
        <v>75</v>
      </c>
      <c r="J41" t="s">
        <v>78</v>
      </c>
      <c r="K41" t="s">
        <v>191</v>
      </c>
      <c r="L41" t="s">
        <v>14</v>
      </c>
      <c r="M41" t="s">
        <v>74</v>
      </c>
      <c r="N41">
        <f>3451*1.852</f>
        <v>6391.2520000000004</v>
      </c>
      <c r="O41" s="4">
        <v>59</v>
      </c>
    </row>
    <row r="42" spans="1:15" ht="15.4" x14ac:dyDescent="0.45">
      <c r="A42" s="4" t="s">
        <v>10</v>
      </c>
      <c r="B42" s="4" t="s">
        <v>10</v>
      </c>
      <c r="C42" s="4"/>
      <c r="D42" t="s">
        <v>38</v>
      </c>
      <c r="E42" s="4" t="s">
        <v>21</v>
      </c>
      <c r="F42" s="4" t="s">
        <v>10</v>
      </c>
      <c r="G42" s="4">
        <v>200</v>
      </c>
      <c r="H42" t="s">
        <v>38</v>
      </c>
      <c r="I42" t="s">
        <v>78</v>
      </c>
      <c r="J42" t="s">
        <v>78</v>
      </c>
      <c r="K42" t="s">
        <v>191</v>
      </c>
      <c r="L42" t="s">
        <v>14</v>
      </c>
      <c r="M42" t="s">
        <v>74</v>
      </c>
      <c r="O42" s="4">
        <v>60</v>
      </c>
    </row>
    <row r="43" spans="1:15" ht="15.4" x14ac:dyDescent="0.45">
      <c r="A43" s="4" t="s">
        <v>105</v>
      </c>
      <c r="B43" s="4" t="s">
        <v>97</v>
      </c>
      <c r="C43" s="4">
        <v>822</v>
      </c>
      <c r="D43" t="s">
        <v>38</v>
      </c>
      <c r="E43" s="4" t="s">
        <v>21</v>
      </c>
      <c r="F43" s="4" t="s">
        <v>10</v>
      </c>
      <c r="G43" s="4">
        <v>200</v>
      </c>
      <c r="H43" t="s">
        <v>38</v>
      </c>
      <c r="I43" t="s">
        <v>78</v>
      </c>
      <c r="J43" t="s">
        <v>30</v>
      </c>
      <c r="K43" t="s">
        <v>14</v>
      </c>
      <c r="L43" t="s">
        <v>20</v>
      </c>
      <c r="M43" t="s">
        <v>74</v>
      </c>
      <c r="N43">
        <f>10066*1.852</f>
        <v>18642.232</v>
      </c>
      <c r="O43" s="4">
        <v>22</v>
      </c>
    </row>
    <row r="44" spans="1:15" ht="15.4" x14ac:dyDescent="0.45">
      <c r="A44" s="4" t="s">
        <v>10</v>
      </c>
      <c r="B44" s="4" t="s">
        <v>10</v>
      </c>
      <c r="C44" s="4"/>
      <c r="D44" t="s">
        <v>38</v>
      </c>
      <c r="E44" s="4" t="s">
        <v>106</v>
      </c>
      <c r="F44" s="4" t="s">
        <v>107</v>
      </c>
      <c r="G44" s="4">
        <v>317</v>
      </c>
      <c r="H44" t="s">
        <v>38</v>
      </c>
      <c r="I44" t="s">
        <v>52</v>
      </c>
      <c r="J44" t="s">
        <v>52</v>
      </c>
      <c r="K44" t="s">
        <v>191</v>
      </c>
      <c r="L44" t="s">
        <v>14</v>
      </c>
      <c r="M44" t="s">
        <v>74</v>
      </c>
      <c r="O44" s="4">
        <v>61</v>
      </c>
    </row>
    <row r="45" spans="1:15" ht="15.4" x14ac:dyDescent="0.45">
      <c r="A45" s="4" t="s">
        <v>128</v>
      </c>
      <c r="B45" s="4" t="s">
        <v>107</v>
      </c>
      <c r="C45" s="4">
        <v>300</v>
      </c>
      <c r="D45" t="s">
        <v>38</v>
      </c>
      <c r="E45" s="4" t="s">
        <v>99</v>
      </c>
      <c r="F45" s="4" t="s">
        <v>10</v>
      </c>
      <c r="G45" s="4">
        <v>200</v>
      </c>
      <c r="H45" t="s">
        <v>38</v>
      </c>
      <c r="I45" t="s">
        <v>52</v>
      </c>
      <c r="J45" t="s">
        <v>30</v>
      </c>
      <c r="K45" t="s">
        <v>14</v>
      </c>
      <c r="L45" t="s">
        <v>20</v>
      </c>
      <c r="M45" t="s">
        <v>74</v>
      </c>
      <c r="N45">
        <f>11697*1.852</f>
        <v>21662.844000000001</v>
      </c>
      <c r="O45" s="4">
        <v>23</v>
      </c>
    </row>
    <row r="46" spans="1:15" ht="15.4" x14ac:dyDescent="0.45">
      <c r="A46" s="4" t="s">
        <v>10</v>
      </c>
      <c r="B46" s="4" t="s">
        <v>10</v>
      </c>
      <c r="C46" s="4"/>
      <c r="D46" t="s">
        <v>38</v>
      </c>
      <c r="E46" s="4" t="s">
        <v>98</v>
      </c>
      <c r="F46" s="4" t="s">
        <v>99</v>
      </c>
      <c r="G46" s="4">
        <v>545</v>
      </c>
      <c r="H46" t="s">
        <v>38</v>
      </c>
      <c r="I46" t="s">
        <v>66</v>
      </c>
      <c r="J46" t="s">
        <v>66</v>
      </c>
      <c r="K46" t="s">
        <v>191</v>
      </c>
      <c r="L46" t="s">
        <v>14</v>
      </c>
      <c r="M46" t="s">
        <v>74</v>
      </c>
      <c r="O46" s="4">
        <v>62</v>
      </c>
    </row>
    <row r="47" spans="1:15" ht="15.4" x14ac:dyDescent="0.45">
      <c r="A47" s="4" t="s">
        <v>129</v>
      </c>
      <c r="B47" s="4" t="s">
        <v>99</v>
      </c>
      <c r="C47" s="4">
        <v>712</v>
      </c>
      <c r="D47" t="s">
        <v>38</v>
      </c>
      <c r="E47" s="4" t="s">
        <v>99</v>
      </c>
      <c r="F47" s="4" t="s">
        <v>10</v>
      </c>
      <c r="G47" s="4">
        <v>200</v>
      </c>
      <c r="H47" t="s">
        <v>38</v>
      </c>
      <c r="I47" t="s">
        <v>66</v>
      </c>
      <c r="J47" t="s">
        <v>30</v>
      </c>
      <c r="K47" t="s">
        <v>14</v>
      </c>
      <c r="L47" t="s">
        <v>20</v>
      </c>
      <c r="M47" t="s">
        <v>74</v>
      </c>
      <c r="N47">
        <f>8164*1.852</f>
        <v>15119.728000000001</v>
      </c>
      <c r="O47" s="4">
        <v>24</v>
      </c>
    </row>
    <row r="48" spans="1:15" ht="15.4" x14ac:dyDescent="0.45">
      <c r="A48" s="4" t="s">
        <v>10</v>
      </c>
      <c r="B48" s="4" t="s">
        <v>10</v>
      </c>
      <c r="C48" s="4"/>
      <c r="D48" t="s">
        <v>38</v>
      </c>
      <c r="E48" s="4" t="s">
        <v>95</v>
      </c>
      <c r="F48" s="4" t="s">
        <v>10</v>
      </c>
      <c r="G48" s="4">
        <v>5</v>
      </c>
      <c r="H48" t="s">
        <v>38</v>
      </c>
      <c r="I48" t="s">
        <v>79</v>
      </c>
      <c r="J48" t="s">
        <v>79</v>
      </c>
      <c r="K48" t="s">
        <v>191</v>
      </c>
      <c r="L48" t="s">
        <v>14</v>
      </c>
      <c r="M48" t="s">
        <v>74</v>
      </c>
      <c r="O48" s="4">
        <v>63</v>
      </c>
    </row>
    <row r="49" spans="1:15" ht="15.4" x14ac:dyDescent="0.45">
      <c r="A49" s="4" t="s">
        <v>122</v>
      </c>
      <c r="B49" s="4" t="s">
        <v>123</v>
      </c>
      <c r="C49" s="4">
        <v>2511</v>
      </c>
      <c r="D49" t="s">
        <v>38</v>
      </c>
      <c r="E49" s="4" t="s">
        <v>21</v>
      </c>
      <c r="F49" s="4" t="s">
        <v>10</v>
      </c>
      <c r="G49" s="4">
        <v>200</v>
      </c>
      <c r="H49" t="s">
        <v>38</v>
      </c>
      <c r="I49" t="s">
        <v>79</v>
      </c>
      <c r="J49" t="s">
        <v>30</v>
      </c>
      <c r="K49" t="s">
        <v>14</v>
      </c>
      <c r="L49" t="s">
        <v>20</v>
      </c>
      <c r="M49" t="s">
        <v>74</v>
      </c>
      <c r="O49" s="4">
        <v>25</v>
      </c>
    </row>
    <row r="50" spans="1:15" ht="15.4" x14ac:dyDescent="0.45">
      <c r="A50" s="4" t="s">
        <v>83</v>
      </c>
      <c r="B50" s="4" t="s">
        <v>84</v>
      </c>
      <c r="C50" s="4">
        <v>200</v>
      </c>
      <c r="D50" t="s">
        <v>38</v>
      </c>
      <c r="E50" s="4" t="s">
        <v>81</v>
      </c>
      <c r="F50" s="4" t="s">
        <v>82</v>
      </c>
      <c r="G50" s="4">
        <v>546</v>
      </c>
      <c r="H50" t="s">
        <v>38</v>
      </c>
      <c r="I50" t="s">
        <v>13</v>
      </c>
      <c r="J50" t="s">
        <v>13</v>
      </c>
      <c r="K50" t="s">
        <v>191</v>
      </c>
      <c r="L50" t="s">
        <v>14</v>
      </c>
      <c r="M50" t="s">
        <v>74</v>
      </c>
      <c r="O50" s="4">
        <v>64</v>
      </c>
    </row>
    <row r="51" spans="1:15" ht="15.4" x14ac:dyDescent="0.45">
      <c r="A51" s="4" t="s">
        <v>110</v>
      </c>
      <c r="B51" s="4" t="s">
        <v>111</v>
      </c>
      <c r="C51" s="4">
        <v>2030</v>
      </c>
      <c r="D51" t="s">
        <v>38</v>
      </c>
      <c r="E51" s="4" t="s">
        <v>83</v>
      </c>
      <c r="F51" s="4" t="s">
        <v>84</v>
      </c>
      <c r="G51" s="4">
        <v>200</v>
      </c>
      <c r="H51" t="s">
        <v>38</v>
      </c>
      <c r="I51" t="s">
        <v>75</v>
      </c>
      <c r="J51" t="s">
        <v>13</v>
      </c>
      <c r="K51" t="s">
        <v>191</v>
      </c>
      <c r="L51" t="s">
        <v>14</v>
      </c>
      <c r="M51" t="s">
        <v>74</v>
      </c>
      <c r="N51">
        <f>8931*1.852</f>
        <v>16540.212</v>
      </c>
      <c r="O51" s="4">
        <v>65</v>
      </c>
    </row>
    <row r="52" spans="1:15" ht="15.4" x14ac:dyDescent="0.45">
      <c r="A52" s="4" t="s">
        <v>83</v>
      </c>
      <c r="B52" s="4" t="s">
        <v>84</v>
      </c>
      <c r="C52" s="4">
        <v>200</v>
      </c>
      <c r="D52" t="s">
        <v>38</v>
      </c>
      <c r="E52" s="4" t="s">
        <v>21</v>
      </c>
      <c r="F52" s="4" t="s">
        <v>10</v>
      </c>
      <c r="G52" s="4">
        <v>200</v>
      </c>
      <c r="H52" t="s">
        <v>38</v>
      </c>
      <c r="I52" t="s">
        <v>13</v>
      </c>
      <c r="J52" t="s">
        <v>35</v>
      </c>
      <c r="K52" t="s">
        <v>14</v>
      </c>
      <c r="L52" t="s">
        <v>20</v>
      </c>
      <c r="M52" t="s">
        <v>74</v>
      </c>
      <c r="N52">
        <v>911.18400000000008</v>
      </c>
      <c r="O52" s="4">
        <v>26</v>
      </c>
    </row>
    <row r="53" spans="1:15" ht="15.4" x14ac:dyDescent="0.45">
      <c r="A53" s="4" t="s">
        <v>10</v>
      </c>
      <c r="B53" s="4" t="s">
        <v>10</v>
      </c>
      <c r="C53" s="4"/>
      <c r="D53" t="s">
        <v>38</v>
      </c>
      <c r="E53" s="4" t="s">
        <v>21</v>
      </c>
      <c r="F53" s="4" t="s">
        <v>10</v>
      </c>
      <c r="G53" s="4">
        <v>200</v>
      </c>
      <c r="H53" t="s">
        <v>38</v>
      </c>
      <c r="I53" t="s">
        <v>30</v>
      </c>
      <c r="J53" t="s">
        <v>30</v>
      </c>
      <c r="K53" t="s">
        <v>191</v>
      </c>
      <c r="L53" t="s">
        <v>14</v>
      </c>
      <c r="M53" t="s">
        <v>74</v>
      </c>
      <c r="O53" s="4">
        <v>66</v>
      </c>
    </row>
    <row r="54" spans="1:15" ht="15.4" x14ac:dyDescent="0.45">
      <c r="A54" s="4" t="s">
        <v>21</v>
      </c>
      <c r="B54" s="4" t="s">
        <v>10</v>
      </c>
      <c r="C54" s="4">
        <v>200</v>
      </c>
      <c r="D54" t="s">
        <v>38</v>
      </c>
      <c r="E54" s="4" t="s">
        <v>21</v>
      </c>
      <c r="F54" s="4" t="s">
        <v>10</v>
      </c>
      <c r="G54" s="4">
        <v>200</v>
      </c>
      <c r="H54" t="s">
        <v>38</v>
      </c>
      <c r="I54" t="s">
        <v>30</v>
      </c>
      <c r="J54" t="s">
        <v>35</v>
      </c>
      <c r="K54" t="s">
        <v>14</v>
      </c>
      <c r="L54" t="s">
        <v>20</v>
      </c>
      <c r="M54" t="s">
        <v>74</v>
      </c>
      <c r="N54">
        <f>8164*1.852</f>
        <v>15119.728000000001</v>
      </c>
      <c r="O54" s="4">
        <v>27</v>
      </c>
    </row>
    <row r="55" spans="1:15" ht="15.4" x14ac:dyDescent="0.45">
      <c r="A55" s="4" t="s">
        <v>10</v>
      </c>
      <c r="B55" s="4" t="s">
        <v>10</v>
      </c>
      <c r="C55" s="4"/>
      <c r="D55" t="s">
        <v>38</v>
      </c>
      <c r="E55" s="4" t="s">
        <v>85</v>
      </c>
      <c r="F55" s="4" t="s">
        <v>86</v>
      </c>
      <c r="G55" s="4">
        <v>220</v>
      </c>
      <c r="H55" t="s">
        <v>38</v>
      </c>
      <c r="I55" t="s">
        <v>75</v>
      </c>
      <c r="J55" t="s">
        <v>75</v>
      </c>
      <c r="K55" t="s">
        <v>191</v>
      </c>
      <c r="L55" t="s">
        <v>14</v>
      </c>
      <c r="M55" t="s">
        <v>74</v>
      </c>
      <c r="O55" s="4">
        <v>67</v>
      </c>
    </row>
    <row r="56" spans="1:15" ht="15.4" x14ac:dyDescent="0.45">
      <c r="A56" s="4" t="s">
        <v>110</v>
      </c>
      <c r="B56" s="4" t="s">
        <v>111</v>
      </c>
      <c r="C56" s="4">
        <v>2030</v>
      </c>
      <c r="D56" t="s">
        <v>38</v>
      </c>
      <c r="E56" s="4" t="s">
        <v>21</v>
      </c>
      <c r="F56" s="4" t="s">
        <v>10</v>
      </c>
      <c r="G56" s="4">
        <v>200</v>
      </c>
      <c r="H56" t="s">
        <v>38</v>
      </c>
      <c r="I56" t="s">
        <v>75</v>
      </c>
      <c r="J56" t="s">
        <v>35</v>
      </c>
      <c r="K56" t="s">
        <v>14</v>
      </c>
      <c r="L56" t="s">
        <v>20</v>
      </c>
      <c r="M56" t="s">
        <v>74</v>
      </c>
      <c r="N56">
        <f>9781*1.852</f>
        <v>18114.412</v>
      </c>
      <c r="O56" s="4">
        <v>28</v>
      </c>
    </row>
    <row r="57" spans="1:15" ht="16.5" x14ac:dyDescent="0.45">
      <c r="A57" s="4" t="s">
        <v>10</v>
      </c>
      <c r="B57" s="4" t="s">
        <v>10</v>
      </c>
      <c r="C57" s="4"/>
      <c r="D57" t="s">
        <v>38</v>
      </c>
      <c r="E57" s="5" t="s">
        <v>100</v>
      </c>
      <c r="F57" s="5" t="s">
        <v>101</v>
      </c>
      <c r="G57" s="4">
        <v>880</v>
      </c>
      <c r="H57" t="s">
        <v>38</v>
      </c>
      <c r="I57" t="s">
        <v>19</v>
      </c>
      <c r="J57" t="s">
        <v>19</v>
      </c>
      <c r="K57" t="s">
        <v>191</v>
      </c>
      <c r="L57" t="s">
        <v>14</v>
      </c>
      <c r="M57" t="s">
        <v>74</v>
      </c>
      <c r="O57" s="4">
        <v>68</v>
      </c>
    </row>
    <row r="58" spans="1:15" ht="15.4" x14ac:dyDescent="0.45">
      <c r="A58" s="4" t="s">
        <v>88</v>
      </c>
      <c r="B58" s="4" t="s">
        <v>113</v>
      </c>
      <c r="C58" s="4">
        <v>20</v>
      </c>
      <c r="D58" t="s">
        <v>38</v>
      </c>
      <c r="E58" s="4" t="s">
        <v>21</v>
      </c>
      <c r="F58" s="4" t="s">
        <v>10</v>
      </c>
      <c r="G58" s="4">
        <v>200</v>
      </c>
      <c r="H58" t="s">
        <v>38</v>
      </c>
      <c r="I58" t="s">
        <v>19</v>
      </c>
      <c r="J58" t="s">
        <v>35</v>
      </c>
      <c r="K58" t="s">
        <v>14</v>
      </c>
      <c r="L58" t="s">
        <v>20</v>
      </c>
      <c r="M58" t="s">
        <v>74</v>
      </c>
      <c r="N58">
        <f>4071*1.852</f>
        <v>7539.4920000000002</v>
      </c>
      <c r="O58" s="4">
        <v>29</v>
      </c>
    </row>
    <row r="59" spans="1:15" ht="15.4" x14ac:dyDescent="0.45">
      <c r="A59" s="4" t="s">
        <v>10</v>
      </c>
      <c r="B59" s="4" t="s">
        <v>10</v>
      </c>
      <c r="C59" s="4"/>
      <c r="D59" t="s">
        <v>38</v>
      </c>
      <c r="E59" s="4" t="s">
        <v>108</v>
      </c>
      <c r="F59" s="4" t="s">
        <v>90</v>
      </c>
      <c r="G59" s="4">
        <v>71</v>
      </c>
      <c r="H59" t="s">
        <v>38</v>
      </c>
      <c r="I59" t="s">
        <v>76</v>
      </c>
      <c r="J59" t="s">
        <v>76</v>
      </c>
      <c r="K59" t="s">
        <v>191</v>
      </c>
      <c r="L59" t="s">
        <v>14</v>
      </c>
      <c r="M59" t="s">
        <v>74</v>
      </c>
      <c r="O59" s="4">
        <v>69</v>
      </c>
    </row>
    <row r="60" spans="1:15" ht="15.4" x14ac:dyDescent="0.45">
      <c r="A60" s="4" t="s">
        <v>130</v>
      </c>
      <c r="B60" s="4" t="s">
        <v>115</v>
      </c>
      <c r="C60" s="4">
        <v>52</v>
      </c>
      <c r="D60" t="s">
        <v>38</v>
      </c>
      <c r="E60" s="4" t="s">
        <v>21</v>
      </c>
      <c r="F60" s="4" t="s">
        <v>10</v>
      </c>
      <c r="G60" s="4">
        <v>200</v>
      </c>
      <c r="H60" t="s">
        <v>38</v>
      </c>
      <c r="I60" t="s">
        <v>76</v>
      </c>
      <c r="J60" t="s">
        <v>35</v>
      </c>
      <c r="K60" t="s">
        <v>14</v>
      </c>
      <c r="L60" t="s">
        <v>20</v>
      </c>
      <c r="M60" t="s">
        <v>74</v>
      </c>
      <c r="N60">
        <f>10796*1.852</f>
        <v>19994.192000000003</v>
      </c>
      <c r="O60" s="4">
        <v>30</v>
      </c>
    </row>
    <row r="61" spans="1:15" ht="15.4" x14ac:dyDescent="0.45">
      <c r="A61" s="4" t="s">
        <v>10</v>
      </c>
      <c r="B61" s="4" t="s">
        <v>10</v>
      </c>
      <c r="C61" s="4"/>
      <c r="D61" t="s">
        <v>38</v>
      </c>
      <c r="E61" s="4" t="s">
        <v>109</v>
      </c>
      <c r="F61" s="4" t="s">
        <v>92</v>
      </c>
      <c r="G61" s="4">
        <v>500</v>
      </c>
      <c r="H61" t="s">
        <v>48</v>
      </c>
      <c r="I61" t="s">
        <v>57</v>
      </c>
      <c r="J61" t="s">
        <v>57</v>
      </c>
      <c r="K61" t="s">
        <v>191</v>
      </c>
      <c r="L61" t="s">
        <v>14</v>
      </c>
      <c r="M61" t="s">
        <v>74</v>
      </c>
      <c r="O61" s="4">
        <v>70</v>
      </c>
    </row>
    <row r="62" spans="1:15" ht="15.4" x14ac:dyDescent="0.45">
      <c r="A62" s="4" t="s">
        <v>125</v>
      </c>
      <c r="B62" s="4" t="s">
        <v>131</v>
      </c>
      <c r="C62" s="4">
        <v>505</v>
      </c>
      <c r="D62" t="s">
        <v>48</v>
      </c>
      <c r="E62" s="4" t="s">
        <v>21</v>
      </c>
      <c r="F62" s="4" t="s">
        <v>10</v>
      </c>
      <c r="G62" s="4">
        <v>200</v>
      </c>
      <c r="H62" t="s">
        <v>38</v>
      </c>
      <c r="I62" t="s">
        <v>57</v>
      </c>
      <c r="J62" t="s">
        <v>35</v>
      </c>
      <c r="K62" t="s">
        <v>14</v>
      </c>
      <c r="L62" t="s">
        <v>20</v>
      </c>
      <c r="M62" t="s">
        <v>74</v>
      </c>
      <c r="N62">
        <f>10755*1.852</f>
        <v>19918.260000000002</v>
      </c>
      <c r="O62" s="4">
        <v>31</v>
      </c>
    </row>
    <row r="63" spans="1:15" ht="15.4" x14ac:dyDescent="0.45">
      <c r="A63" s="4" t="s">
        <v>10</v>
      </c>
      <c r="B63" s="4" t="s">
        <v>10</v>
      </c>
      <c r="C63" s="4"/>
      <c r="D63" t="s">
        <v>38</v>
      </c>
      <c r="E63" s="4" t="s">
        <v>93</v>
      </c>
      <c r="F63" s="4" t="s">
        <v>94</v>
      </c>
      <c r="G63" s="4">
        <v>300</v>
      </c>
      <c r="H63" t="s">
        <v>38</v>
      </c>
      <c r="I63" t="s">
        <v>58</v>
      </c>
      <c r="J63" t="s">
        <v>58</v>
      </c>
      <c r="K63" t="s">
        <v>191</v>
      </c>
      <c r="L63" t="s">
        <v>14</v>
      </c>
      <c r="M63" t="s">
        <v>74</v>
      </c>
      <c r="O63" s="4">
        <v>71</v>
      </c>
    </row>
    <row r="64" spans="1:15" ht="15.4" x14ac:dyDescent="0.45">
      <c r="A64" s="4" t="s">
        <v>117</v>
      </c>
      <c r="B64" s="4" t="s">
        <v>118</v>
      </c>
      <c r="C64" s="4">
        <v>227</v>
      </c>
      <c r="D64" t="s">
        <v>38</v>
      </c>
      <c r="E64" s="4" t="s">
        <v>21</v>
      </c>
      <c r="F64" s="4" t="s">
        <v>10</v>
      </c>
      <c r="G64" s="4">
        <v>200</v>
      </c>
      <c r="H64" t="s">
        <v>38</v>
      </c>
      <c r="I64" t="s">
        <v>58</v>
      </c>
      <c r="J64" t="s">
        <v>35</v>
      </c>
      <c r="K64" t="s">
        <v>14</v>
      </c>
      <c r="L64" t="s">
        <v>20</v>
      </c>
      <c r="M64" t="s">
        <v>74</v>
      </c>
      <c r="N64">
        <f>11837*1.852</f>
        <v>21922.124</v>
      </c>
      <c r="O64" s="4">
        <v>32</v>
      </c>
    </row>
    <row r="65" spans="1:15" ht="15.4" x14ac:dyDescent="0.45">
      <c r="A65" s="4" t="s">
        <v>10</v>
      </c>
      <c r="B65" s="4" t="s">
        <v>10</v>
      </c>
      <c r="E65" s="4" t="s">
        <v>103</v>
      </c>
      <c r="F65" s="4" t="s">
        <v>104</v>
      </c>
      <c r="G65" s="4">
        <v>1444</v>
      </c>
      <c r="H65" t="s">
        <v>48</v>
      </c>
      <c r="I65" t="s">
        <v>80</v>
      </c>
      <c r="J65" t="s">
        <v>80</v>
      </c>
      <c r="K65" t="s">
        <v>191</v>
      </c>
      <c r="L65" t="s">
        <v>14</v>
      </c>
      <c r="M65" t="s">
        <v>74</v>
      </c>
      <c r="O65" s="4">
        <v>72</v>
      </c>
    </row>
    <row r="66" spans="1:15" ht="15.4" x14ac:dyDescent="0.45">
      <c r="A66" s="4" t="s">
        <v>103</v>
      </c>
      <c r="B66" s="4" t="s">
        <v>126</v>
      </c>
      <c r="C66" s="4">
        <v>590</v>
      </c>
      <c r="D66" t="s">
        <v>38</v>
      </c>
      <c r="E66" s="4" t="s">
        <v>21</v>
      </c>
      <c r="F66" s="4" t="s">
        <v>10</v>
      </c>
      <c r="G66" s="4">
        <v>200</v>
      </c>
      <c r="H66" t="s">
        <v>38</v>
      </c>
      <c r="I66" t="s">
        <v>80</v>
      </c>
      <c r="J66" t="s">
        <v>35</v>
      </c>
      <c r="K66" t="s">
        <v>191</v>
      </c>
      <c r="L66" t="s">
        <v>14</v>
      </c>
      <c r="M66" t="s">
        <v>74</v>
      </c>
      <c r="N66">
        <f>4438*1.852</f>
        <v>8219.1760000000013</v>
      </c>
      <c r="O66" s="4">
        <v>33</v>
      </c>
    </row>
    <row r="67" spans="1:15" ht="15.4" x14ac:dyDescent="0.45">
      <c r="A67" s="4" t="s">
        <v>132</v>
      </c>
      <c r="B67" s="4" t="s">
        <v>111</v>
      </c>
      <c r="C67" s="4">
        <v>2030</v>
      </c>
      <c r="D67" t="s">
        <v>38</v>
      </c>
      <c r="E67" s="4" t="s">
        <v>105</v>
      </c>
      <c r="F67" s="4" t="s">
        <v>97</v>
      </c>
      <c r="G67" s="4">
        <v>822</v>
      </c>
      <c r="H67" t="s">
        <v>38</v>
      </c>
      <c r="I67" t="s">
        <v>75</v>
      </c>
      <c r="J67" t="s">
        <v>78</v>
      </c>
      <c r="K67" t="s">
        <v>14</v>
      </c>
      <c r="L67" t="s">
        <v>20</v>
      </c>
      <c r="M67" t="s">
        <v>74</v>
      </c>
      <c r="N67">
        <f>3451*1.852</f>
        <v>6391.2520000000004</v>
      </c>
      <c r="O67" s="4">
        <v>73</v>
      </c>
    </row>
    <row r="68" spans="1:15" ht="15.4" x14ac:dyDescent="0.45">
      <c r="A68" s="4" t="s">
        <v>10</v>
      </c>
      <c r="B68" s="4" t="s">
        <v>10</v>
      </c>
      <c r="C68" s="4"/>
      <c r="D68" t="s">
        <v>38</v>
      </c>
      <c r="E68" s="4" t="s">
        <v>21</v>
      </c>
      <c r="F68" s="4" t="s">
        <v>10</v>
      </c>
      <c r="G68" s="4">
        <v>200</v>
      </c>
      <c r="H68" t="s">
        <v>38</v>
      </c>
      <c r="I68" t="s">
        <v>78</v>
      </c>
      <c r="J68" t="s">
        <v>78</v>
      </c>
      <c r="K68" t="s">
        <v>191</v>
      </c>
      <c r="L68" t="s">
        <v>14</v>
      </c>
      <c r="M68" t="s">
        <v>74</v>
      </c>
      <c r="O68" s="4">
        <v>74</v>
      </c>
    </row>
    <row r="69" spans="1:15" ht="15.4" x14ac:dyDescent="0.45">
      <c r="A69" s="4" t="s">
        <v>105</v>
      </c>
      <c r="B69" s="4" t="s">
        <v>97</v>
      </c>
      <c r="C69" s="4">
        <v>822</v>
      </c>
      <c r="D69" t="s">
        <v>38</v>
      </c>
      <c r="E69" s="4" t="s">
        <v>21</v>
      </c>
      <c r="F69" s="4" t="s">
        <v>10</v>
      </c>
      <c r="G69" s="4">
        <v>200</v>
      </c>
      <c r="H69" t="s">
        <v>38</v>
      </c>
      <c r="I69" t="s">
        <v>78</v>
      </c>
      <c r="J69" t="s">
        <v>35</v>
      </c>
      <c r="K69" t="s">
        <v>14</v>
      </c>
      <c r="L69" t="s">
        <v>20</v>
      </c>
      <c r="M69" t="s">
        <v>74</v>
      </c>
      <c r="N69">
        <f>9863*1.852</f>
        <v>18266.276000000002</v>
      </c>
      <c r="O69" s="4">
        <v>34</v>
      </c>
    </row>
    <row r="70" spans="1:15" ht="15.4" x14ac:dyDescent="0.45">
      <c r="A70" s="4" t="s">
        <v>10</v>
      </c>
      <c r="B70" s="4" t="s">
        <v>10</v>
      </c>
      <c r="C70" s="4"/>
      <c r="D70" t="s">
        <v>38</v>
      </c>
      <c r="E70" s="4" t="s">
        <v>106</v>
      </c>
      <c r="F70" s="4" t="s">
        <v>107</v>
      </c>
      <c r="G70" s="4">
        <v>317</v>
      </c>
      <c r="H70" t="s">
        <v>38</v>
      </c>
      <c r="I70" t="s">
        <v>52</v>
      </c>
      <c r="J70" t="s">
        <v>52</v>
      </c>
      <c r="K70" t="s">
        <v>191</v>
      </c>
      <c r="L70" t="s">
        <v>14</v>
      </c>
      <c r="M70" t="s">
        <v>74</v>
      </c>
      <c r="O70" s="4">
        <v>75</v>
      </c>
    </row>
    <row r="71" spans="1:15" ht="15.4" x14ac:dyDescent="0.45">
      <c r="A71" s="4" t="s">
        <v>128</v>
      </c>
      <c r="B71" s="4" t="s">
        <v>107</v>
      </c>
      <c r="C71" s="4">
        <v>300</v>
      </c>
      <c r="D71" t="s">
        <v>38</v>
      </c>
      <c r="E71" s="4" t="s">
        <v>21</v>
      </c>
      <c r="F71" s="4" t="s">
        <v>10</v>
      </c>
      <c r="G71" s="4">
        <v>200</v>
      </c>
      <c r="H71" t="s">
        <v>38</v>
      </c>
      <c r="I71" t="s">
        <v>52</v>
      </c>
      <c r="J71" t="s">
        <v>35</v>
      </c>
      <c r="K71" t="s">
        <v>14</v>
      </c>
      <c r="L71" t="s">
        <v>20</v>
      </c>
      <c r="M71" t="s">
        <v>74</v>
      </c>
      <c r="N71">
        <f>11384*1.852</f>
        <v>21083.168000000001</v>
      </c>
      <c r="O71" s="4">
        <v>35</v>
      </c>
    </row>
    <row r="72" spans="1:15" ht="15.4" x14ac:dyDescent="0.45">
      <c r="A72" s="4" t="s">
        <v>10</v>
      </c>
      <c r="B72" s="4" t="s">
        <v>10</v>
      </c>
      <c r="C72" s="4"/>
      <c r="D72" t="s">
        <v>38</v>
      </c>
      <c r="E72" s="4" t="s">
        <v>98</v>
      </c>
      <c r="F72" s="4" t="s">
        <v>99</v>
      </c>
      <c r="G72" s="4">
        <v>545</v>
      </c>
      <c r="H72" t="s">
        <v>38</v>
      </c>
      <c r="I72" t="s">
        <v>66</v>
      </c>
      <c r="J72" t="s">
        <v>66</v>
      </c>
      <c r="K72" t="s">
        <v>191</v>
      </c>
      <c r="L72" t="s">
        <v>14</v>
      </c>
      <c r="M72" t="s">
        <v>74</v>
      </c>
      <c r="O72" s="4">
        <v>76</v>
      </c>
    </row>
    <row r="73" spans="1:15" ht="15.4" x14ac:dyDescent="0.45">
      <c r="A73" s="4" t="s">
        <v>121</v>
      </c>
      <c r="B73" s="4" t="s">
        <v>133</v>
      </c>
      <c r="C73" s="4">
        <v>712</v>
      </c>
      <c r="D73" t="s">
        <v>38</v>
      </c>
      <c r="E73" s="4" t="s">
        <v>21</v>
      </c>
      <c r="F73" s="4" t="s">
        <v>10</v>
      </c>
      <c r="G73" s="4">
        <v>200</v>
      </c>
      <c r="H73" t="s">
        <v>38</v>
      </c>
      <c r="I73" t="s">
        <v>66</v>
      </c>
      <c r="J73" t="s">
        <v>35</v>
      </c>
      <c r="K73" t="s">
        <v>14</v>
      </c>
      <c r="L73" t="s">
        <v>20</v>
      </c>
      <c r="M73" t="s">
        <v>74</v>
      </c>
      <c r="N73">
        <f>7968*1.852</f>
        <v>14756.736000000001</v>
      </c>
      <c r="O73" s="4">
        <v>36</v>
      </c>
    </row>
    <row r="74" spans="1:15" ht="15.4" x14ac:dyDescent="0.45">
      <c r="A74" s="4" t="s">
        <v>10</v>
      </c>
      <c r="B74" s="4" t="s">
        <v>10</v>
      </c>
      <c r="C74" s="4"/>
      <c r="D74" t="s">
        <v>38</v>
      </c>
      <c r="E74" s="4" t="s">
        <v>95</v>
      </c>
      <c r="F74" s="4" t="s">
        <v>10</v>
      </c>
      <c r="G74" s="4">
        <v>5</v>
      </c>
      <c r="H74" t="s">
        <v>38</v>
      </c>
      <c r="I74" t="s">
        <v>79</v>
      </c>
      <c r="J74" t="s">
        <v>79</v>
      </c>
      <c r="K74" t="s">
        <v>191</v>
      </c>
      <c r="L74" t="s">
        <v>14</v>
      </c>
      <c r="M74" t="s">
        <v>74</v>
      </c>
      <c r="O74" s="4">
        <v>77</v>
      </c>
    </row>
    <row r="75" spans="1:15" ht="15.4" x14ac:dyDescent="0.45">
      <c r="A75" s="4" t="s">
        <v>122</v>
      </c>
      <c r="B75" s="4" t="s">
        <v>123</v>
      </c>
      <c r="C75" s="4">
        <v>2511</v>
      </c>
      <c r="D75" t="s">
        <v>38</v>
      </c>
      <c r="E75" s="4" t="s">
        <v>21</v>
      </c>
      <c r="F75" s="4" t="s">
        <v>10</v>
      </c>
      <c r="G75" s="4">
        <v>200</v>
      </c>
      <c r="H75" t="s">
        <v>38</v>
      </c>
      <c r="I75" t="s">
        <v>79</v>
      </c>
      <c r="J75" t="s">
        <v>35</v>
      </c>
      <c r="K75" t="s">
        <v>14</v>
      </c>
      <c r="L75" t="s">
        <v>20</v>
      </c>
      <c r="M75" t="s">
        <v>74</v>
      </c>
      <c r="O75" s="4">
        <v>37</v>
      </c>
    </row>
    <row r="76" spans="1:15" ht="15.4" x14ac:dyDescent="0.45">
      <c r="N76" s="4"/>
    </row>
    <row r="77" spans="1:15" ht="15.4" x14ac:dyDescent="0.45">
      <c r="N77" s="4"/>
    </row>
    <row r="78" spans="1:15" ht="15.4" x14ac:dyDescent="0.45">
      <c r="N78" s="4"/>
    </row>
    <row r="79" spans="1:15" ht="15.4" x14ac:dyDescent="0.45">
      <c r="N79" s="4"/>
    </row>
    <row r="80" spans="1:15" ht="15.4" x14ac:dyDescent="0.45">
      <c r="N80" s="4"/>
    </row>
    <row r="81" spans="14:14" ht="15.4" x14ac:dyDescent="0.45">
      <c r="N81" s="4"/>
    </row>
    <row r="82" spans="14:14" ht="15.4" x14ac:dyDescent="0.45">
      <c r="N8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A189-2156-4502-8D1C-01CCAD0556D5}">
  <dimension ref="A1:O83"/>
  <sheetViews>
    <sheetView tabSelected="1" topLeftCell="B74" workbookViewId="0">
      <selection activeCell="L43" sqref="L43"/>
    </sheetView>
  </sheetViews>
  <sheetFormatPr defaultRowHeight="14.25" x14ac:dyDescent="0.45"/>
  <cols>
    <col min="1" max="1" width="42.73046875" customWidth="1"/>
    <col min="2" max="2" width="45.86328125" customWidth="1"/>
    <col min="3" max="3" width="14.265625" customWidth="1"/>
    <col min="4" max="4" width="16.73046875" customWidth="1"/>
    <col min="5" max="5" width="22.86328125" customWidth="1"/>
    <col min="6" max="6" width="31" customWidth="1"/>
    <col min="7" max="7" width="15" customWidth="1"/>
    <col min="8" max="8" width="18.73046875" customWidth="1"/>
    <col min="9" max="9" width="20.1328125" customWidth="1"/>
    <col min="10" max="10" width="20" customWidth="1"/>
    <col min="11" max="11" width="18" customWidth="1"/>
    <col min="12" max="12" width="18.3984375" customWidth="1"/>
    <col min="13" max="13" width="13.73046875" customWidth="1"/>
    <col min="14" max="14" width="17.86328125" customWidth="1"/>
  </cols>
  <sheetData>
    <row r="1" spans="1:15" s="7" customFormat="1" x14ac:dyDescent="0.45">
      <c r="A1" s="7" t="s">
        <v>0</v>
      </c>
      <c r="B1" s="7" t="s">
        <v>1</v>
      </c>
      <c r="C1" s="7" t="s">
        <v>2</v>
      </c>
      <c r="D1" s="7" t="s">
        <v>70</v>
      </c>
      <c r="E1" s="7" t="s">
        <v>3</v>
      </c>
      <c r="F1" s="7" t="s">
        <v>4</v>
      </c>
      <c r="G1" s="7" t="s">
        <v>5</v>
      </c>
      <c r="H1" s="7" t="s">
        <v>71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36</v>
      </c>
      <c r="N1" s="7" t="s">
        <v>134</v>
      </c>
      <c r="O1" s="1" t="s">
        <v>190</v>
      </c>
    </row>
    <row r="2" spans="1:15" ht="15.4" x14ac:dyDescent="0.45">
      <c r="A2" s="8" t="s">
        <v>135</v>
      </c>
      <c r="B2" s="8" t="s">
        <v>153</v>
      </c>
      <c r="C2" s="8">
        <v>741</v>
      </c>
      <c r="D2" s="9" t="s">
        <v>38</v>
      </c>
      <c r="E2" s="8"/>
      <c r="F2" s="8"/>
      <c r="G2" s="8"/>
      <c r="H2" s="8" t="s">
        <v>38</v>
      </c>
      <c r="I2" s="4" t="s">
        <v>13</v>
      </c>
      <c r="J2" s="4" t="s">
        <v>13</v>
      </c>
      <c r="K2" s="4" t="s">
        <v>191</v>
      </c>
      <c r="L2" s="6" t="s">
        <v>14</v>
      </c>
      <c r="M2" s="9" t="s">
        <v>189</v>
      </c>
      <c r="N2" s="4"/>
      <c r="O2">
        <v>15</v>
      </c>
    </row>
    <row r="3" spans="1:15" ht="15.4" x14ac:dyDescent="0.45">
      <c r="A3" s="8" t="s">
        <v>136</v>
      </c>
      <c r="B3" s="8" t="s">
        <v>154</v>
      </c>
      <c r="C3" s="8">
        <v>377</v>
      </c>
      <c r="D3" s="9" t="s">
        <v>38</v>
      </c>
      <c r="E3" s="8" t="s">
        <v>145</v>
      </c>
      <c r="F3" s="8" t="s">
        <v>148</v>
      </c>
      <c r="G3" s="8">
        <v>100</v>
      </c>
      <c r="H3" s="8" t="s">
        <v>38</v>
      </c>
      <c r="I3" s="4" t="s">
        <v>19</v>
      </c>
      <c r="J3" s="4" t="s">
        <v>13</v>
      </c>
      <c r="K3" s="4" t="s">
        <v>191</v>
      </c>
      <c r="L3" s="6" t="s">
        <v>14</v>
      </c>
      <c r="M3" s="9" t="s">
        <v>189</v>
      </c>
      <c r="N3" s="4">
        <f>3919*1.852</f>
        <v>7257.9880000000003</v>
      </c>
      <c r="O3">
        <v>16</v>
      </c>
    </row>
    <row r="4" spans="1:15" ht="15.4" x14ac:dyDescent="0.45">
      <c r="A4" s="8" t="s">
        <v>137</v>
      </c>
      <c r="B4" s="8" t="s">
        <v>155</v>
      </c>
      <c r="C4" s="8">
        <v>1482</v>
      </c>
      <c r="D4" s="9" t="s">
        <v>38</v>
      </c>
      <c r="E4" s="8" t="s">
        <v>145</v>
      </c>
      <c r="F4" s="8" t="s">
        <v>148</v>
      </c>
      <c r="G4" s="8">
        <v>100</v>
      </c>
      <c r="H4" s="8" t="s">
        <v>38</v>
      </c>
      <c r="I4" s="4" t="s">
        <v>47</v>
      </c>
      <c r="J4" s="4" t="s">
        <v>13</v>
      </c>
      <c r="K4" s="4" t="s">
        <v>191</v>
      </c>
      <c r="L4" s="6" t="s">
        <v>14</v>
      </c>
      <c r="M4" s="9" t="s">
        <v>189</v>
      </c>
      <c r="N4" s="4">
        <f>11023*1.852</f>
        <v>20414.596000000001</v>
      </c>
      <c r="O4">
        <v>17</v>
      </c>
    </row>
    <row r="5" spans="1:15" ht="15.4" x14ac:dyDescent="0.45">
      <c r="A5" s="8" t="s">
        <v>138</v>
      </c>
      <c r="B5" s="8" t="s">
        <v>156</v>
      </c>
      <c r="C5" s="8">
        <v>703</v>
      </c>
      <c r="D5" s="9" t="s">
        <v>38</v>
      </c>
      <c r="E5" s="8" t="s">
        <v>145</v>
      </c>
      <c r="F5" s="8" t="s">
        <v>148</v>
      </c>
      <c r="G5" s="8">
        <v>100</v>
      </c>
      <c r="H5" s="8" t="s">
        <v>38</v>
      </c>
      <c r="I5" s="4" t="s">
        <v>181</v>
      </c>
      <c r="J5" s="4" t="s">
        <v>13</v>
      </c>
      <c r="K5" s="4" t="s">
        <v>191</v>
      </c>
      <c r="L5" s="6" t="s">
        <v>14</v>
      </c>
      <c r="M5" s="9" t="s">
        <v>189</v>
      </c>
      <c r="N5" s="4">
        <f>9618*1.852</f>
        <v>17812.536</v>
      </c>
      <c r="O5">
        <v>18</v>
      </c>
    </row>
    <row r="6" spans="1:15" ht="15.4" x14ac:dyDescent="0.45">
      <c r="A6" s="8" t="s">
        <v>139</v>
      </c>
      <c r="B6" s="8" t="s">
        <v>157</v>
      </c>
      <c r="C6" s="8">
        <v>90</v>
      </c>
      <c r="D6" s="9" t="s">
        <v>38</v>
      </c>
      <c r="E6" s="8" t="s">
        <v>145</v>
      </c>
      <c r="F6" s="8" t="s">
        <v>148</v>
      </c>
      <c r="G6" s="8">
        <v>100</v>
      </c>
      <c r="H6" s="8" t="s">
        <v>38</v>
      </c>
      <c r="I6" s="4" t="s">
        <v>182</v>
      </c>
      <c r="J6" s="4" t="s">
        <v>13</v>
      </c>
      <c r="K6" s="4" t="s">
        <v>191</v>
      </c>
      <c r="L6" s="6" t="s">
        <v>14</v>
      </c>
      <c r="M6" s="9" t="s">
        <v>189</v>
      </c>
      <c r="N6" s="4">
        <f>10284*1.852</f>
        <v>19045.968000000001</v>
      </c>
      <c r="O6">
        <v>19</v>
      </c>
    </row>
    <row r="7" spans="1:15" ht="15.4" x14ac:dyDescent="0.45">
      <c r="A7" s="8" t="s">
        <v>140</v>
      </c>
      <c r="B7" s="8" t="s">
        <v>158</v>
      </c>
      <c r="C7" s="8">
        <v>1400</v>
      </c>
      <c r="D7" s="9" t="s">
        <v>48</v>
      </c>
      <c r="E7" s="8" t="s">
        <v>171</v>
      </c>
      <c r="F7" s="8" t="s">
        <v>176</v>
      </c>
      <c r="G7" s="8">
        <v>4700</v>
      </c>
      <c r="H7" s="9" t="s">
        <v>48</v>
      </c>
      <c r="I7" s="4" t="s">
        <v>183</v>
      </c>
      <c r="J7" s="4" t="s">
        <v>13</v>
      </c>
      <c r="K7" s="4" t="s">
        <v>191</v>
      </c>
      <c r="L7" s="6" t="s">
        <v>14</v>
      </c>
      <c r="M7" s="9" t="s">
        <v>189</v>
      </c>
      <c r="N7" s="4"/>
      <c r="O7">
        <v>20</v>
      </c>
    </row>
    <row r="8" spans="1:15" ht="15.4" x14ac:dyDescent="0.45">
      <c r="A8" s="8" t="s">
        <v>141</v>
      </c>
      <c r="B8" s="8" t="s">
        <v>159</v>
      </c>
      <c r="C8" s="8">
        <v>361</v>
      </c>
      <c r="D8" s="9" t="s">
        <v>38</v>
      </c>
      <c r="E8" s="8" t="s">
        <v>145</v>
      </c>
      <c r="F8" s="8" t="s">
        <v>148</v>
      </c>
      <c r="G8" s="8">
        <v>100</v>
      </c>
      <c r="H8" s="8" t="s">
        <v>38</v>
      </c>
      <c r="I8" s="4" t="s">
        <v>184</v>
      </c>
      <c r="J8" s="4" t="s">
        <v>13</v>
      </c>
      <c r="K8" s="4" t="s">
        <v>191</v>
      </c>
      <c r="L8" s="6" t="s">
        <v>14</v>
      </c>
      <c r="M8" s="9" t="s">
        <v>189</v>
      </c>
      <c r="N8" s="4">
        <f>2069*1.852</f>
        <v>3831.788</v>
      </c>
      <c r="O8">
        <v>21</v>
      </c>
    </row>
    <row r="9" spans="1:15" ht="15.4" x14ac:dyDescent="0.45">
      <c r="A9" s="8" t="s">
        <v>142</v>
      </c>
      <c r="B9" s="8" t="s">
        <v>160</v>
      </c>
      <c r="C9" s="8">
        <v>238</v>
      </c>
      <c r="D9" s="9" t="s">
        <v>38</v>
      </c>
      <c r="E9" s="8" t="s">
        <v>145</v>
      </c>
      <c r="F9" s="8" t="s">
        <v>148</v>
      </c>
      <c r="G9" s="8">
        <v>100</v>
      </c>
      <c r="H9" s="8" t="s">
        <v>38</v>
      </c>
      <c r="I9" s="4" t="s">
        <v>185</v>
      </c>
      <c r="J9" s="4" t="s">
        <v>13</v>
      </c>
      <c r="K9" s="4" t="s">
        <v>191</v>
      </c>
      <c r="L9" s="6" t="s">
        <v>14</v>
      </c>
      <c r="M9" s="9" t="s">
        <v>189</v>
      </c>
      <c r="N9" s="4">
        <f>6046*1.852</f>
        <v>11197.192000000001</v>
      </c>
      <c r="O9">
        <v>22</v>
      </c>
    </row>
    <row r="10" spans="1:15" ht="15.4" x14ac:dyDescent="0.45">
      <c r="A10" s="8" t="s">
        <v>143</v>
      </c>
      <c r="B10" s="8" t="s">
        <v>161</v>
      </c>
      <c r="C10" s="8">
        <v>708</v>
      </c>
      <c r="D10" s="9" t="s">
        <v>38</v>
      </c>
      <c r="E10" s="8" t="s">
        <v>145</v>
      </c>
      <c r="F10" s="8" t="s">
        <v>148</v>
      </c>
      <c r="G10" s="8">
        <v>100</v>
      </c>
      <c r="H10" s="8" t="s">
        <v>38</v>
      </c>
      <c r="I10" s="4" t="s">
        <v>186</v>
      </c>
      <c r="J10" s="4" t="s">
        <v>13</v>
      </c>
      <c r="K10" s="4" t="s">
        <v>191</v>
      </c>
      <c r="L10" s="6" t="s">
        <v>14</v>
      </c>
      <c r="M10" s="9" t="s">
        <v>189</v>
      </c>
      <c r="N10" s="4">
        <f>3602*1.852</f>
        <v>6670.9040000000005</v>
      </c>
      <c r="O10">
        <v>23</v>
      </c>
    </row>
    <row r="11" spans="1:15" ht="15.4" x14ac:dyDescent="0.45">
      <c r="A11" s="8" t="s">
        <v>144</v>
      </c>
      <c r="B11" s="8" t="s">
        <v>162</v>
      </c>
      <c r="C11" s="8">
        <v>954</v>
      </c>
      <c r="D11" s="9" t="s">
        <v>38</v>
      </c>
      <c r="E11" s="8" t="s">
        <v>145</v>
      </c>
      <c r="F11" s="8" t="s">
        <v>148</v>
      </c>
      <c r="G11" s="8">
        <v>100</v>
      </c>
      <c r="H11" s="8" t="s">
        <v>38</v>
      </c>
      <c r="I11" s="4" t="s">
        <v>66</v>
      </c>
      <c r="J11" s="4" t="s">
        <v>13</v>
      </c>
      <c r="K11" s="4" t="s">
        <v>191</v>
      </c>
      <c r="L11" s="6" t="s">
        <v>14</v>
      </c>
      <c r="M11" s="9" t="s">
        <v>189</v>
      </c>
      <c r="N11" s="4">
        <f>7699*1.852</f>
        <v>14258.548000000001</v>
      </c>
      <c r="O11">
        <v>24</v>
      </c>
    </row>
    <row r="12" spans="1:15" ht="15.4" x14ac:dyDescent="0.45">
      <c r="A12" s="8" t="s">
        <v>145</v>
      </c>
      <c r="B12" s="8" t="s">
        <v>163</v>
      </c>
      <c r="C12" s="8">
        <v>733</v>
      </c>
      <c r="D12" s="9" t="s">
        <v>38</v>
      </c>
      <c r="E12" s="8"/>
      <c r="F12" s="8"/>
      <c r="G12" s="8"/>
      <c r="H12" s="8" t="s">
        <v>38</v>
      </c>
      <c r="I12" s="6" t="s">
        <v>13</v>
      </c>
      <c r="J12" s="6" t="s">
        <v>13</v>
      </c>
      <c r="K12" s="6" t="s">
        <v>14</v>
      </c>
      <c r="L12" s="6" t="s">
        <v>20</v>
      </c>
      <c r="M12" s="9" t="s">
        <v>189</v>
      </c>
      <c r="N12" s="6"/>
      <c r="O12">
        <v>4</v>
      </c>
    </row>
    <row r="13" spans="1:15" ht="15.4" x14ac:dyDescent="0.45">
      <c r="A13" s="8" t="s">
        <v>137</v>
      </c>
      <c r="B13" s="8" t="s">
        <v>155</v>
      </c>
      <c r="C13" s="8">
        <v>1482</v>
      </c>
      <c r="D13" s="9" t="s">
        <v>38</v>
      </c>
      <c r="E13" s="8" t="s">
        <v>172</v>
      </c>
      <c r="F13" s="8" t="s">
        <v>177</v>
      </c>
      <c r="G13" s="8">
        <v>1306</v>
      </c>
      <c r="H13" s="8" t="s">
        <v>38</v>
      </c>
      <c r="I13" s="4" t="s">
        <v>47</v>
      </c>
      <c r="J13" s="4" t="s">
        <v>31</v>
      </c>
      <c r="K13" s="4" t="s">
        <v>191</v>
      </c>
      <c r="L13" s="6" t="s">
        <v>14</v>
      </c>
      <c r="M13" s="9" t="s">
        <v>189</v>
      </c>
      <c r="N13" s="4">
        <f>4873*1.852</f>
        <v>9024.7960000000003</v>
      </c>
      <c r="O13">
        <v>25</v>
      </c>
    </row>
    <row r="14" spans="1:15" ht="15.4" x14ac:dyDescent="0.45">
      <c r="A14" s="8" t="s">
        <v>138</v>
      </c>
      <c r="B14" s="8" t="s">
        <v>156</v>
      </c>
      <c r="C14" s="8">
        <v>703</v>
      </c>
      <c r="D14" s="9" t="s">
        <v>38</v>
      </c>
      <c r="E14" s="8" t="s">
        <v>173</v>
      </c>
      <c r="F14" s="8" t="s">
        <v>178</v>
      </c>
      <c r="G14" s="8">
        <v>408</v>
      </c>
      <c r="H14" s="8" t="s">
        <v>38</v>
      </c>
      <c r="I14" s="4" t="s">
        <v>181</v>
      </c>
      <c r="J14" s="4" t="s">
        <v>31</v>
      </c>
      <c r="K14" s="4" t="s">
        <v>191</v>
      </c>
      <c r="L14" s="6" t="s">
        <v>14</v>
      </c>
      <c r="M14" s="9" t="s">
        <v>189</v>
      </c>
      <c r="N14" s="4">
        <f>5333*1.852</f>
        <v>9876.7160000000003</v>
      </c>
      <c r="O14">
        <v>26</v>
      </c>
    </row>
    <row r="15" spans="1:15" ht="15.4" x14ac:dyDescent="0.45">
      <c r="A15" s="8" t="s">
        <v>142</v>
      </c>
      <c r="B15" s="8" t="s">
        <v>160</v>
      </c>
      <c r="C15" s="8">
        <v>238</v>
      </c>
      <c r="D15" s="9" t="s">
        <v>38</v>
      </c>
      <c r="E15" s="8" t="s">
        <v>174</v>
      </c>
      <c r="F15" s="8" t="s">
        <v>179</v>
      </c>
      <c r="G15" s="8">
        <v>1467</v>
      </c>
      <c r="H15" s="8" t="s">
        <v>38</v>
      </c>
      <c r="I15" s="4" t="s">
        <v>185</v>
      </c>
      <c r="J15" s="4" t="s">
        <v>31</v>
      </c>
      <c r="K15" s="4" t="s">
        <v>191</v>
      </c>
      <c r="L15" s="6" t="s">
        <v>14</v>
      </c>
      <c r="M15" s="9" t="s">
        <v>189</v>
      </c>
      <c r="N15" s="4">
        <f>4556*1.852</f>
        <v>8437.7119999999995</v>
      </c>
      <c r="O15">
        <v>27</v>
      </c>
    </row>
    <row r="16" spans="1:15" ht="15.4" x14ac:dyDescent="0.45">
      <c r="A16" s="8" t="s">
        <v>144</v>
      </c>
      <c r="B16" s="8" t="s">
        <v>162</v>
      </c>
      <c r="C16" s="8">
        <v>954</v>
      </c>
      <c r="D16" s="9" t="s">
        <v>38</v>
      </c>
      <c r="E16" s="8" t="s">
        <v>165</v>
      </c>
      <c r="F16" s="8" t="s">
        <v>147</v>
      </c>
      <c r="G16" s="8">
        <v>885</v>
      </c>
      <c r="H16" s="8" t="s">
        <v>38</v>
      </c>
      <c r="I16" s="4" t="s">
        <v>66</v>
      </c>
      <c r="J16" s="4" t="s">
        <v>31</v>
      </c>
      <c r="K16" s="4" t="s">
        <v>191</v>
      </c>
      <c r="L16" s="6" t="s">
        <v>14</v>
      </c>
      <c r="M16" s="9" t="s">
        <v>189</v>
      </c>
      <c r="N16" s="4">
        <f>6789*1.852</f>
        <v>12573.228000000001</v>
      </c>
      <c r="O16">
        <v>28</v>
      </c>
    </row>
    <row r="17" spans="1:15" ht="15.4" x14ac:dyDescent="0.45">
      <c r="A17" s="8" t="s">
        <v>146</v>
      </c>
      <c r="B17" s="8" t="s">
        <v>164</v>
      </c>
      <c r="C17" s="8">
        <v>90</v>
      </c>
      <c r="D17" s="9" t="s">
        <v>38</v>
      </c>
      <c r="E17" s="8" t="s">
        <v>173</v>
      </c>
      <c r="F17" s="8" t="s">
        <v>178</v>
      </c>
      <c r="G17" s="8">
        <v>408</v>
      </c>
      <c r="H17" s="8" t="s">
        <v>38</v>
      </c>
      <c r="I17" s="4" t="s">
        <v>187</v>
      </c>
      <c r="J17" s="4" t="s">
        <v>31</v>
      </c>
      <c r="K17" s="4" t="s">
        <v>191</v>
      </c>
      <c r="L17" s="6" t="s">
        <v>14</v>
      </c>
      <c r="M17" s="9" t="s">
        <v>189</v>
      </c>
      <c r="N17" s="4">
        <f>5566*1.852</f>
        <v>10308.232</v>
      </c>
      <c r="O17">
        <v>29</v>
      </c>
    </row>
    <row r="18" spans="1:15" ht="15.4" x14ac:dyDescent="0.45">
      <c r="A18" s="8" t="s">
        <v>147</v>
      </c>
      <c r="B18" s="8" t="s">
        <v>165</v>
      </c>
      <c r="C18" s="8">
        <v>885</v>
      </c>
      <c r="D18" s="9" t="s">
        <v>38</v>
      </c>
      <c r="E18" s="8" t="s">
        <v>145</v>
      </c>
      <c r="F18" s="8" t="s">
        <v>163</v>
      </c>
      <c r="G18" s="8">
        <v>733</v>
      </c>
      <c r="H18" s="8" t="s">
        <v>38</v>
      </c>
      <c r="I18" s="6" t="s">
        <v>31</v>
      </c>
      <c r="J18" s="6" t="s">
        <v>13</v>
      </c>
      <c r="K18" s="6" t="s">
        <v>14</v>
      </c>
      <c r="L18" s="6" t="s">
        <v>20</v>
      </c>
      <c r="M18" s="9" t="s">
        <v>189</v>
      </c>
      <c r="N18" s="6">
        <f>10582*1.852</f>
        <v>19597.864000000001</v>
      </c>
      <c r="O18">
        <v>5</v>
      </c>
    </row>
    <row r="19" spans="1:15" ht="15.4" x14ac:dyDescent="0.45">
      <c r="A19" s="8" t="s">
        <v>135</v>
      </c>
      <c r="B19" s="8" t="s">
        <v>153</v>
      </c>
      <c r="C19" s="8">
        <v>741</v>
      </c>
      <c r="D19" s="9" t="s">
        <v>38</v>
      </c>
      <c r="E19" s="8"/>
      <c r="F19" s="8"/>
      <c r="G19" s="8"/>
      <c r="H19" s="8" t="s">
        <v>38</v>
      </c>
      <c r="I19" s="4" t="s">
        <v>13</v>
      </c>
      <c r="J19" s="4" t="s">
        <v>13</v>
      </c>
      <c r="K19" s="4" t="s">
        <v>191</v>
      </c>
      <c r="L19" s="6" t="s">
        <v>14</v>
      </c>
      <c r="M19" s="9" t="s">
        <v>189</v>
      </c>
      <c r="N19" s="4"/>
      <c r="O19">
        <v>30</v>
      </c>
    </row>
    <row r="20" spans="1:15" ht="15.4" x14ac:dyDescent="0.45">
      <c r="A20" s="8" t="s">
        <v>136</v>
      </c>
      <c r="B20" s="8" t="s">
        <v>154</v>
      </c>
      <c r="C20" s="8">
        <v>377</v>
      </c>
      <c r="D20" s="9" t="s">
        <v>38</v>
      </c>
      <c r="E20" s="8" t="s">
        <v>145</v>
      </c>
      <c r="F20" s="8" t="s">
        <v>148</v>
      </c>
      <c r="G20" s="8">
        <v>100</v>
      </c>
      <c r="H20" s="8" t="s">
        <v>38</v>
      </c>
      <c r="I20" s="4" t="s">
        <v>19</v>
      </c>
      <c r="J20" s="4" t="s">
        <v>13</v>
      </c>
      <c r="K20" s="4" t="s">
        <v>191</v>
      </c>
      <c r="L20" s="6" t="s">
        <v>14</v>
      </c>
      <c r="M20" s="9" t="s">
        <v>189</v>
      </c>
      <c r="N20" s="4">
        <f>3919*1.852</f>
        <v>7257.9880000000003</v>
      </c>
      <c r="O20">
        <v>31</v>
      </c>
    </row>
    <row r="21" spans="1:15" ht="15.4" x14ac:dyDescent="0.45">
      <c r="A21" s="8" t="s">
        <v>137</v>
      </c>
      <c r="B21" s="8" t="s">
        <v>155</v>
      </c>
      <c r="C21" s="8">
        <v>1482</v>
      </c>
      <c r="D21" s="9" t="s">
        <v>38</v>
      </c>
      <c r="E21" s="8" t="s">
        <v>145</v>
      </c>
      <c r="F21" s="8" t="s">
        <v>148</v>
      </c>
      <c r="G21" s="8">
        <v>100</v>
      </c>
      <c r="H21" s="8" t="s">
        <v>38</v>
      </c>
      <c r="I21" s="4" t="s">
        <v>47</v>
      </c>
      <c r="J21" s="4" t="s">
        <v>13</v>
      </c>
      <c r="K21" s="4" t="s">
        <v>191</v>
      </c>
      <c r="L21" s="6" t="s">
        <v>14</v>
      </c>
      <c r="M21" s="9" t="s">
        <v>189</v>
      </c>
      <c r="N21" s="4">
        <f>11023*1.852</f>
        <v>20414.596000000001</v>
      </c>
      <c r="O21">
        <v>32</v>
      </c>
    </row>
    <row r="22" spans="1:15" ht="15.4" x14ac:dyDescent="0.45">
      <c r="A22" s="8" t="s">
        <v>138</v>
      </c>
      <c r="B22" s="8" t="s">
        <v>156</v>
      </c>
      <c r="C22" s="8">
        <v>703</v>
      </c>
      <c r="D22" s="9" t="s">
        <v>38</v>
      </c>
      <c r="E22" s="8" t="s">
        <v>145</v>
      </c>
      <c r="F22" s="8" t="s">
        <v>148</v>
      </c>
      <c r="G22" s="8">
        <v>100</v>
      </c>
      <c r="H22" s="8" t="s">
        <v>38</v>
      </c>
      <c r="I22" s="4" t="s">
        <v>186</v>
      </c>
      <c r="J22" s="4" t="s">
        <v>13</v>
      </c>
      <c r="K22" s="4" t="s">
        <v>191</v>
      </c>
      <c r="L22" s="6" t="s">
        <v>14</v>
      </c>
      <c r="M22" s="9" t="s">
        <v>189</v>
      </c>
      <c r="N22" s="4">
        <f>3602*1.852</f>
        <v>6670.9040000000005</v>
      </c>
      <c r="O22">
        <v>33</v>
      </c>
    </row>
    <row r="23" spans="1:15" ht="15.4" x14ac:dyDescent="0.45">
      <c r="A23" s="8" t="s">
        <v>139</v>
      </c>
      <c r="B23" s="8" t="s">
        <v>157</v>
      </c>
      <c r="C23" s="8">
        <v>90</v>
      </c>
      <c r="D23" s="9" t="s">
        <v>38</v>
      </c>
      <c r="E23" s="8" t="s">
        <v>145</v>
      </c>
      <c r="F23" s="8" t="s">
        <v>148</v>
      </c>
      <c r="G23" s="8">
        <v>100</v>
      </c>
      <c r="H23" s="8" t="s">
        <v>38</v>
      </c>
      <c r="I23" s="4" t="s">
        <v>181</v>
      </c>
      <c r="J23" s="4" t="s">
        <v>13</v>
      </c>
      <c r="K23" s="4" t="s">
        <v>191</v>
      </c>
      <c r="L23" s="6" t="s">
        <v>14</v>
      </c>
      <c r="M23" s="9" t="s">
        <v>189</v>
      </c>
      <c r="N23" s="4">
        <f>9618*1.852</f>
        <v>17812.536</v>
      </c>
      <c r="O23">
        <v>34</v>
      </c>
    </row>
    <row r="24" spans="1:15" ht="15.4" x14ac:dyDescent="0.45">
      <c r="A24" s="8" t="s">
        <v>140</v>
      </c>
      <c r="B24" s="8" t="s">
        <v>158</v>
      </c>
      <c r="C24" s="8">
        <v>1400</v>
      </c>
      <c r="D24" s="9" t="s">
        <v>38</v>
      </c>
      <c r="E24" s="8" t="s">
        <v>171</v>
      </c>
      <c r="F24" s="8" t="s">
        <v>176</v>
      </c>
      <c r="G24" s="8">
        <v>4700</v>
      </c>
      <c r="H24" s="9" t="s">
        <v>48</v>
      </c>
      <c r="I24" s="4" t="s">
        <v>182</v>
      </c>
      <c r="J24" s="4" t="s">
        <v>13</v>
      </c>
      <c r="K24" s="4" t="s">
        <v>191</v>
      </c>
      <c r="L24" s="6" t="s">
        <v>14</v>
      </c>
      <c r="M24" s="9" t="s">
        <v>189</v>
      </c>
      <c r="N24" s="4">
        <f>10284*1.852</f>
        <v>19045.968000000001</v>
      </c>
      <c r="O24">
        <v>35</v>
      </c>
    </row>
    <row r="25" spans="1:15" ht="15.4" x14ac:dyDescent="0.45">
      <c r="A25" s="8" t="s">
        <v>141</v>
      </c>
      <c r="B25" s="8" t="s">
        <v>159</v>
      </c>
      <c r="C25" s="8">
        <v>361</v>
      </c>
      <c r="D25" s="9" t="s">
        <v>38</v>
      </c>
      <c r="E25" s="8" t="s">
        <v>145</v>
      </c>
      <c r="F25" s="8" t="s">
        <v>148</v>
      </c>
      <c r="G25" s="8">
        <v>100</v>
      </c>
      <c r="H25" s="8" t="s">
        <v>38</v>
      </c>
      <c r="I25" s="4" t="s">
        <v>183</v>
      </c>
      <c r="J25" s="4" t="s">
        <v>13</v>
      </c>
      <c r="K25" s="4" t="s">
        <v>191</v>
      </c>
      <c r="L25" s="6" t="s">
        <v>14</v>
      </c>
      <c r="M25" s="9" t="s">
        <v>189</v>
      </c>
      <c r="N25" s="4"/>
      <c r="O25">
        <v>36</v>
      </c>
    </row>
    <row r="26" spans="1:15" ht="15.4" x14ac:dyDescent="0.45">
      <c r="A26" s="8" t="s">
        <v>142</v>
      </c>
      <c r="B26" s="8" t="s">
        <v>160</v>
      </c>
      <c r="C26" s="8">
        <v>238</v>
      </c>
      <c r="D26" s="9" t="s">
        <v>38</v>
      </c>
      <c r="E26" s="8" t="s">
        <v>145</v>
      </c>
      <c r="F26" s="8" t="s">
        <v>148</v>
      </c>
      <c r="G26" s="8">
        <v>100</v>
      </c>
      <c r="H26" s="8" t="s">
        <v>38</v>
      </c>
      <c r="I26" s="4" t="s">
        <v>184</v>
      </c>
      <c r="J26" s="4" t="s">
        <v>13</v>
      </c>
      <c r="K26" s="4" t="s">
        <v>191</v>
      </c>
      <c r="L26" s="6" t="s">
        <v>14</v>
      </c>
      <c r="M26" s="9" t="s">
        <v>189</v>
      </c>
      <c r="N26" s="4">
        <f>2069*1.852</f>
        <v>3831.788</v>
      </c>
      <c r="O26">
        <v>37</v>
      </c>
    </row>
    <row r="27" spans="1:15" ht="15.4" x14ac:dyDescent="0.45">
      <c r="A27" s="8" t="s">
        <v>143</v>
      </c>
      <c r="B27" s="8" t="s">
        <v>161</v>
      </c>
      <c r="C27" s="8">
        <v>708</v>
      </c>
      <c r="D27" s="9" t="s">
        <v>38</v>
      </c>
      <c r="E27" s="8" t="s">
        <v>145</v>
      </c>
      <c r="F27" s="8" t="s">
        <v>148</v>
      </c>
      <c r="G27" s="8">
        <v>100</v>
      </c>
      <c r="H27" s="8" t="s">
        <v>38</v>
      </c>
      <c r="I27" s="4" t="s">
        <v>185</v>
      </c>
      <c r="J27" s="4" t="s">
        <v>13</v>
      </c>
      <c r="K27" s="4" t="s">
        <v>191</v>
      </c>
      <c r="L27" s="6" t="s">
        <v>14</v>
      </c>
      <c r="M27" s="9" t="s">
        <v>189</v>
      </c>
      <c r="N27" s="4">
        <f>6046*1.852</f>
        <v>11197.192000000001</v>
      </c>
      <c r="O27">
        <v>38</v>
      </c>
    </row>
    <row r="28" spans="1:15" ht="15.4" x14ac:dyDescent="0.45">
      <c r="A28" s="8" t="s">
        <v>144</v>
      </c>
      <c r="B28" s="8" t="s">
        <v>162</v>
      </c>
      <c r="C28" s="8">
        <v>954</v>
      </c>
      <c r="D28" s="9" t="s">
        <v>38</v>
      </c>
      <c r="E28" s="8" t="s">
        <v>145</v>
      </c>
      <c r="F28" s="8" t="s">
        <v>148</v>
      </c>
      <c r="G28" s="8">
        <v>100</v>
      </c>
      <c r="H28" s="8" t="s">
        <v>38</v>
      </c>
      <c r="I28" s="4" t="s">
        <v>66</v>
      </c>
      <c r="J28" s="4" t="s">
        <v>13</v>
      </c>
      <c r="K28" s="4" t="s">
        <v>191</v>
      </c>
      <c r="L28" s="6" t="s">
        <v>14</v>
      </c>
      <c r="M28" s="9" t="s">
        <v>189</v>
      </c>
      <c r="N28" s="4">
        <f>7699*1.852</f>
        <v>14258.548000000001</v>
      </c>
      <c r="O28">
        <v>39</v>
      </c>
    </row>
    <row r="29" spans="1:15" ht="15.4" x14ac:dyDescent="0.45">
      <c r="A29" s="8" t="s">
        <v>148</v>
      </c>
      <c r="B29" s="8" t="s">
        <v>145</v>
      </c>
      <c r="C29" s="8">
        <v>100</v>
      </c>
      <c r="D29" s="9" t="s">
        <v>38</v>
      </c>
      <c r="E29" s="8" t="s">
        <v>170</v>
      </c>
      <c r="F29" s="8" t="s">
        <v>168</v>
      </c>
      <c r="G29" s="8">
        <v>303</v>
      </c>
      <c r="H29" s="8" t="s">
        <v>38</v>
      </c>
      <c r="I29" s="6" t="s">
        <v>13</v>
      </c>
      <c r="J29" s="6" t="s">
        <v>30</v>
      </c>
      <c r="K29" s="6" t="s">
        <v>14</v>
      </c>
      <c r="L29" s="6" t="s">
        <v>20</v>
      </c>
      <c r="M29" s="9" t="s">
        <v>189</v>
      </c>
      <c r="N29" s="6">
        <f>761*1.852</f>
        <v>1409.3720000000001</v>
      </c>
      <c r="O29">
        <v>6</v>
      </c>
    </row>
    <row r="30" spans="1:15" ht="15.4" x14ac:dyDescent="0.45">
      <c r="A30" s="8" t="s">
        <v>149</v>
      </c>
      <c r="B30" s="8" t="s">
        <v>166</v>
      </c>
      <c r="C30" s="8">
        <v>1000</v>
      </c>
      <c r="D30" s="9" t="s">
        <v>38</v>
      </c>
      <c r="E30" s="8" t="s">
        <v>170</v>
      </c>
      <c r="F30" s="8" t="s">
        <v>150</v>
      </c>
      <c r="G30" s="8">
        <v>329</v>
      </c>
      <c r="H30" s="8" t="s">
        <v>38</v>
      </c>
      <c r="I30" s="4" t="s">
        <v>13</v>
      </c>
      <c r="J30" s="4" t="s">
        <v>30</v>
      </c>
      <c r="K30" s="4" t="s">
        <v>191</v>
      </c>
      <c r="L30" s="6" t="s">
        <v>14</v>
      </c>
      <c r="M30" s="9" t="s">
        <v>189</v>
      </c>
      <c r="N30" s="4">
        <f>761*1.852</f>
        <v>1409.3720000000001</v>
      </c>
      <c r="O30">
        <v>40</v>
      </c>
    </row>
    <row r="31" spans="1:15" ht="15.4" x14ac:dyDescent="0.45">
      <c r="A31" s="8" t="s">
        <v>137</v>
      </c>
      <c r="B31" s="8" t="s">
        <v>155</v>
      </c>
      <c r="C31" s="8">
        <v>1482</v>
      </c>
      <c r="D31" s="9" t="s">
        <v>38</v>
      </c>
      <c r="E31" s="8" t="s">
        <v>170</v>
      </c>
      <c r="F31" s="8" t="s">
        <v>150</v>
      </c>
      <c r="G31" s="8">
        <v>329</v>
      </c>
      <c r="H31" s="8" t="s">
        <v>38</v>
      </c>
      <c r="I31" s="4" t="s">
        <v>47</v>
      </c>
      <c r="J31" s="4" t="s">
        <v>30</v>
      </c>
      <c r="K31" s="4" t="s">
        <v>191</v>
      </c>
      <c r="L31" s="6" t="s">
        <v>14</v>
      </c>
      <c r="M31" s="9" t="s">
        <v>189</v>
      </c>
      <c r="N31" s="4">
        <f>11488*1.852</f>
        <v>21275.776000000002</v>
      </c>
      <c r="O31">
        <v>41</v>
      </c>
    </row>
    <row r="32" spans="1:15" ht="15.4" x14ac:dyDescent="0.45">
      <c r="A32" s="8" t="s">
        <v>136</v>
      </c>
      <c r="B32" s="8" t="s">
        <v>154</v>
      </c>
      <c r="C32" s="8">
        <v>377</v>
      </c>
      <c r="D32" s="9" t="s">
        <v>38</v>
      </c>
      <c r="E32" s="8" t="s">
        <v>170</v>
      </c>
      <c r="F32" s="8" t="s">
        <v>150</v>
      </c>
      <c r="G32" s="8">
        <v>329</v>
      </c>
      <c r="H32" s="8" t="s">
        <v>38</v>
      </c>
      <c r="I32" s="4" t="s">
        <v>19</v>
      </c>
      <c r="J32" s="4" t="s">
        <v>30</v>
      </c>
      <c r="K32" s="4" t="s">
        <v>191</v>
      </c>
      <c r="L32" s="6" t="s">
        <v>14</v>
      </c>
      <c r="M32" s="9" t="s">
        <v>189</v>
      </c>
      <c r="N32" s="4">
        <f>4012*1.852</f>
        <v>7430.2240000000002</v>
      </c>
      <c r="O32">
        <v>42</v>
      </c>
    </row>
    <row r="33" spans="1:15" ht="15.4" x14ac:dyDescent="0.45">
      <c r="A33" s="8" t="s">
        <v>138</v>
      </c>
      <c r="B33" s="8" t="s">
        <v>156</v>
      </c>
      <c r="C33" s="8">
        <v>703</v>
      </c>
      <c r="D33" s="9" t="s">
        <v>38</v>
      </c>
      <c r="E33" s="8" t="s">
        <v>170</v>
      </c>
      <c r="F33" s="8" t="s">
        <v>150</v>
      </c>
      <c r="G33" s="8">
        <v>329</v>
      </c>
      <c r="H33" s="8" t="s">
        <v>38</v>
      </c>
      <c r="I33" s="4" t="s">
        <v>181</v>
      </c>
      <c r="J33" s="4" t="s">
        <v>30</v>
      </c>
      <c r="K33" s="4" t="s">
        <v>191</v>
      </c>
      <c r="L33" s="6" t="s">
        <v>14</v>
      </c>
      <c r="M33" s="9" t="s">
        <v>189</v>
      </c>
      <c r="N33" s="4">
        <f>10083*1.852</f>
        <v>18673.716</v>
      </c>
      <c r="O33">
        <v>43</v>
      </c>
    </row>
    <row r="34" spans="1:15" ht="15.4" x14ac:dyDescent="0.45">
      <c r="A34" s="8" t="s">
        <v>103</v>
      </c>
      <c r="B34" s="8" t="s">
        <v>167</v>
      </c>
      <c r="C34" s="8">
        <v>1893</v>
      </c>
      <c r="D34" s="9" t="s">
        <v>48</v>
      </c>
      <c r="E34" s="8" t="s">
        <v>170</v>
      </c>
      <c r="F34" s="8" t="s">
        <v>150</v>
      </c>
      <c r="G34" s="8">
        <v>329</v>
      </c>
      <c r="H34" s="8" t="s">
        <v>38</v>
      </c>
      <c r="I34" s="4" t="s">
        <v>80</v>
      </c>
      <c r="J34" s="4" t="s">
        <v>30</v>
      </c>
      <c r="K34" s="4" t="s">
        <v>191</v>
      </c>
      <c r="L34" s="6" t="s">
        <v>14</v>
      </c>
      <c r="M34" s="9" t="s">
        <v>189</v>
      </c>
      <c r="N34" s="4">
        <f>4641*1.852</f>
        <v>8595.1319999999996</v>
      </c>
      <c r="O34">
        <v>44</v>
      </c>
    </row>
    <row r="35" spans="1:15" ht="15.4" x14ac:dyDescent="0.45">
      <c r="A35" s="8" t="s">
        <v>144</v>
      </c>
      <c r="B35" s="8" t="s">
        <v>162</v>
      </c>
      <c r="C35" s="8">
        <v>954</v>
      </c>
      <c r="D35" s="9" t="s">
        <v>38</v>
      </c>
      <c r="E35" s="8" t="s">
        <v>170</v>
      </c>
      <c r="F35" s="8" t="s">
        <v>150</v>
      </c>
      <c r="G35" s="8">
        <v>329</v>
      </c>
      <c r="H35" s="8" t="s">
        <v>38</v>
      </c>
      <c r="I35" s="4" t="s">
        <v>66</v>
      </c>
      <c r="J35" s="4" t="s">
        <v>30</v>
      </c>
      <c r="K35" s="4" t="s">
        <v>191</v>
      </c>
      <c r="L35" s="6" t="s">
        <v>14</v>
      </c>
      <c r="M35" s="9" t="s">
        <v>189</v>
      </c>
      <c r="N35" s="4">
        <f>8164*1.852</f>
        <v>15119.728000000001</v>
      </c>
      <c r="O35">
        <v>45</v>
      </c>
    </row>
    <row r="36" spans="1:15" ht="15.4" x14ac:dyDescent="0.45">
      <c r="A36" s="8" t="s">
        <v>150</v>
      </c>
      <c r="B36" s="8" t="s">
        <v>168</v>
      </c>
      <c r="C36" s="8">
        <v>620</v>
      </c>
      <c r="D36" s="9" t="s">
        <v>38</v>
      </c>
      <c r="E36" s="8"/>
      <c r="F36" s="8"/>
      <c r="G36" s="8"/>
      <c r="H36" s="8" t="s">
        <v>38</v>
      </c>
      <c r="I36" s="6" t="s">
        <v>30</v>
      </c>
      <c r="J36" s="6" t="s">
        <v>30</v>
      </c>
      <c r="K36" s="6" t="s">
        <v>14</v>
      </c>
      <c r="L36" s="6" t="s">
        <v>20</v>
      </c>
      <c r="M36" s="9" t="s">
        <v>189</v>
      </c>
      <c r="N36" s="6"/>
      <c r="O36">
        <v>7</v>
      </c>
    </row>
    <row r="37" spans="1:15" ht="15.4" x14ac:dyDescent="0.45">
      <c r="A37" s="8" t="s">
        <v>137</v>
      </c>
      <c r="B37" s="8" t="s">
        <v>155</v>
      </c>
      <c r="C37" s="8">
        <v>1482</v>
      </c>
      <c r="D37" s="9" t="s">
        <v>38</v>
      </c>
      <c r="E37" s="8" t="s">
        <v>172</v>
      </c>
      <c r="F37" s="8" t="s">
        <v>177</v>
      </c>
      <c r="G37" s="8">
        <v>1306</v>
      </c>
      <c r="H37" s="8" t="s">
        <v>38</v>
      </c>
      <c r="I37" s="4" t="s">
        <v>47</v>
      </c>
      <c r="J37" s="4" t="s">
        <v>31</v>
      </c>
      <c r="K37" s="4" t="s">
        <v>191</v>
      </c>
      <c r="L37" s="6" t="s">
        <v>14</v>
      </c>
      <c r="M37" s="9" t="s">
        <v>189</v>
      </c>
      <c r="N37" s="4">
        <f>4873*1.852</f>
        <v>9024.7960000000003</v>
      </c>
      <c r="O37">
        <v>46</v>
      </c>
    </row>
    <row r="38" spans="1:15" ht="15.4" x14ac:dyDescent="0.45">
      <c r="A38" s="8" t="s">
        <v>138</v>
      </c>
      <c r="B38" s="8" t="s">
        <v>156</v>
      </c>
      <c r="C38" s="8">
        <v>703</v>
      </c>
      <c r="D38" s="9" t="s">
        <v>38</v>
      </c>
      <c r="E38" s="8" t="s">
        <v>173</v>
      </c>
      <c r="F38" s="8" t="s">
        <v>178</v>
      </c>
      <c r="G38" s="8">
        <v>408</v>
      </c>
      <c r="H38" s="8" t="s">
        <v>38</v>
      </c>
      <c r="I38" s="4" t="s">
        <v>181</v>
      </c>
      <c r="J38" s="4" t="s">
        <v>31</v>
      </c>
      <c r="K38" s="4" t="s">
        <v>191</v>
      </c>
      <c r="L38" s="6" t="s">
        <v>14</v>
      </c>
      <c r="M38" s="9" t="s">
        <v>189</v>
      </c>
      <c r="N38" s="4">
        <f>5333*1.852</f>
        <v>9876.7160000000003</v>
      </c>
      <c r="O38">
        <v>47</v>
      </c>
    </row>
    <row r="39" spans="1:15" ht="15.4" x14ac:dyDescent="0.45">
      <c r="A39" s="8" t="s">
        <v>142</v>
      </c>
      <c r="B39" s="8" t="s">
        <v>160</v>
      </c>
      <c r="C39" s="8">
        <v>238</v>
      </c>
      <c r="D39" s="9" t="s">
        <v>38</v>
      </c>
      <c r="E39" s="8" t="s">
        <v>174</v>
      </c>
      <c r="F39" s="8" t="s">
        <v>179</v>
      </c>
      <c r="G39" s="8">
        <v>1467</v>
      </c>
      <c r="H39" s="8" t="s">
        <v>38</v>
      </c>
      <c r="I39" s="4" t="s">
        <v>185</v>
      </c>
      <c r="J39" s="4" t="s">
        <v>31</v>
      </c>
      <c r="K39" s="4" t="s">
        <v>191</v>
      </c>
      <c r="L39" s="6" t="s">
        <v>14</v>
      </c>
      <c r="M39" s="9" t="s">
        <v>189</v>
      </c>
      <c r="N39" s="4">
        <f>4556*1.852</f>
        <v>8437.7119999999995</v>
      </c>
      <c r="O39">
        <v>48</v>
      </c>
    </row>
    <row r="40" spans="1:15" ht="15.4" x14ac:dyDescent="0.45">
      <c r="A40" s="8" t="s">
        <v>144</v>
      </c>
      <c r="B40" s="8" t="s">
        <v>162</v>
      </c>
      <c r="C40" s="8">
        <v>954</v>
      </c>
      <c r="D40" s="9" t="s">
        <v>38</v>
      </c>
      <c r="E40" s="8" t="s">
        <v>165</v>
      </c>
      <c r="F40" s="8" t="s">
        <v>147</v>
      </c>
      <c r="G40" s="8">
        <v>885</v>
      </c>
      <c r="H40" s="8" t="s">
        <v>38</v>
      </c>
      <c r="I40" s="4" t="s">
        <v>66</v>
      </c>
      <c r="J40" s="4" t="s">
        <v>31</v>
      </c>
      <c r="K40" s="4" t="s">
        <v>191</v>
      </c>
      <c r="L40" s="6" t="s">
        <v>14</v>
      </c>
      <c r="M40" s="9" t="s">
        <v>189</v>
      </c>
      <c r="N40" s="4">
        <f>6789*1.852</f>
        <v>12573.228000000001</v>
      </c>
      <c r="O40">
        <v>49</v>
      </c>
    </row>
    <row r="41" spans="1:15" ht="15.4" x14ac:dyDescent="0.45">
      <c r="A41" s="8" t="s">
        <v>146</v>
      </c>
      <c r="B41" s="8" t="s">
        <v>164</v>
      </c>
      <c r="C41" s="8">
        <v>90</v>
      </c>
      <c r="D41" s="9" t="s">
        <v>38</v>
      </c>
      <c r="E41" s="8" t="s">
        <v>173</v>
      </c>
      <c r="F41" s="8" t="s">
        <v>178</v>
      </c>
      <c r="G41" s="8">
        <v>408</v>
      </c>
      <c r="H41" s="8" t="s">
        <v>38</v>
      </c>
      <c r="I41" s="4" t="s">
        <v>187</v>
      </c>
      <c r="J41" s="4" t="s">
        <v>31</v>
      </c>
      <c r="K41" s="4" t="s">
        <v>191</v>
      </c>
      <c r="L41" s="6" t="s">
        <v>14</v>
      </c>
      <c r="M41" s="9" t="s">
        <v>189</v>
      </c>
      <c r="N41" s="4">
        <f>5566*1.852</f>
        <v>10308.232</v>
      </c>
      <c r="O41">
        <v>50</v>
      </c>
    </row>
    <row r="42" spans="1:15" ht="15.4" x14ac:dyDescent="0.45">
      <c r="A42" s="8" t="s">
        <v>147</v>
      </c>
      <c r="B42" s="8" t="s">
        <v>165</v>
      </c>
      <c r="C42" s="8">
        <v>885</v>
      </c>
      <c r="D42" s="9" t="s">
        <v>38</v>
      </c>
      <c r="E42" s="8" t="s">
        <v>170</v>
      </c>
      <c r="F42" s="8" t="s">
        <v>168</v>
      </c>
      <c r="G42" s="8">
        <v>303</v>
      </c>
      <c r="H42" s="8" t="s">
        <v>38</v>
      </c>
      <c r="I42" s="6" t="s">
        <v>31</v>
      </c>
      <c r="J42" s="6" t="s">
        <v>30</v>
      </c>
      <c r="K42" s="4" t="s">
        <v>14</v>
      </c>
      <c r="L42" s="6" t="s">
        <v>20</v>
      </c>
      <c r="M42" s="9" t="s">
        <v>189</v>
      </c>
      <c r="N42" s="6">
        <f>9993*1.852</f>
        <v>18507.036</v>
      </c>
      <c r="O42">
        <v>8</v>
      </c>
    </row>
    <row r="43" spans="1:15" ht="15.4" x14ac:dyDescent="0.45">
      <c r="A43" s="8" t="s">
        <v>136</v>
      </c>
      <c r="B43" s="8" t="s">
        <v>154</v>
      </c>
      <c r="C43" s="8">
        <v>377</v>
      </c>
      <c r="D43" s="9" t="s">
        <v>38</v>
      </c>
      <c r="E43" s="8" t="s">
        <v>167</v>
      </c>
      <c r="F43" s="8" t="s">
        <v>151</v>
      </c>
      <c r="G43" s="8">
        <v>1132</v>
      </c>
      <c r="H43" s="8" t="s">
        <v>38</v>
      </c>
      <c r="I43" s="4" t="s">
        <v>19</v>
      </c>
      <c r="J43" s="4" t="s">
        <v>80</v>
      </c>
      <c r="K43" s="4" t="s">
        <v>191</v>
      </c>
      <c r="L43" s="6" t="s">
        <v>14</v>
      </c>
      <c r="M43" s="9" t="s">
        <v>189</v>
      </c>
      <c r="N43" s="4">
        <f>5197*1.852</f>
        <v>9624.844000000001</v>
      </c>
      <c r="O43">
        <v>51</v>
      </c>
    </row>
    <row r="44" spans="1:15" ht="15.4" x14ac:dyDescent="0.45">
      <c r="A44" s="8" t="s">
        <v>137</v>
      </c>
      <c r="B44" s="8" t="s">
        <v>155</v>
      </c>
      <c r="C44" s="8">
        <v>1482</v>
      </c>
      <c r="D44" s="9" t="s">
        <v>38</v>
      </c>
      <c r="E44" s="8" t="s">
        <v>167</v>
      </c>
      <c r="F44" s="8" t="s">
        <v>151</v>
      </c>
      <c r="G44" s="8">
        <v>1132</v>
      </c>
      <c r="H44" s="8" t="s">
        <v>38</v>
      </c>
      <c r="I44" s="4" t="s">
        <v>47</v>
      </c>
      <c r="J44" s="4" t="s">
        <v>80</v>
      </c>
      <c r="K44" s="4" t="s">
        <v>191</v>
      </c>
      <c r="L44" s="6" t="s">
        <v>14</v>
      </c>
      <c r="M44" s="9" t="s">
        <v>189</v>
      </c>
      <c r="N44" s="4">
        <f>7714*1.852</f>
        <v>14286.328000000001</v>
      </c>
      <c r="O44">
        <v>52</v>
      </c>
    </row>
    <row r="45" spans="1:15" ht="15.4" x14ac:dyDescent="0.45">
      <c r="A45" s="8" t="s">
        <v>149</v>
      </c>
      <c r="B45" s="8" t="s">
        <v>166</v>
      </c>
      <c r="C45" s="8">
        <v>1000</v>
      </c>
      <c r="D45" s="9" t="s">
        <v>38</v>
      </c>
      <c r="E45" s="8" t="s">
        <v>167</v>
      </c>
      <c r="F45" s="8" t="s">
        <v>151</v>
      </c>
      <c r="G45" s="8">
        <v>1132</v>
      </c>
      <c r="H45" s="8" t="s">
        <v>38</v>
      </c>
      <c r="I45" s="4" t="s">
        <v>13</v>
      </c>
      <c r="J45" s="4" t="s">
        <v>80</v>
      </c>
      <c r="K45" s="4" t="s">
        <v>191</v>
      </c>
      <c r="L45" s="6" t="s">
        <v>14</v>
      </c>
      <c r="M45" s="9" t="s">
        <v>189</v>
      </c>
      <c r="N45" s="4">
        <f>3588*1.852</f>
        <v>6644.9760000000006</v>
      </c>
      <c r="O45">
        <v>53</v>
      </c>
    </row>
    <row r="46" spans="1:15" ht="15.4" x14ac:dyDescent="0.45">
      <c r="A46" s="8" t="s">
        <v>138</v>
      </c>
      <c r="B46" s="8" t="s">
        <v>156</v>
      </c>
      <c r="C46" s="8">
        <v>703</v>
      </c>
      <c r="D46" s="9" t="s">
        <v>38</v>
      </c>
      <c r="E46" s="8" t="s">
        <v>167</v>
      </c>
      <c r="F46" s="8" t="s">
        <v>151</v>
      </c>
      <c r="G46" s="8">
        <v>1132</v>
      </c>
      <c r="H46" s="8" t="s">
        <v>38</v>
      </c>
      <c r="I46" s="4" t="s">
        <v>181</v>
      </c>
      <c r="J46" s="4" t="s">
        <v>80</v>
      </c>
      <c r="K46" s="4" t="s">
        <v>191</v>
      </c>
      <c r="L46" s="6" t="s">
        <v>14</v>
      </c>
      <c r="M46" s="9" t="s">
        <v>189</v>
      </c>
      <c r="N46" s="4">
        <f>6309*1.852</f>
        <v>11684.268</v>
      </c>
      <c r="O46">
        <v>54</v>
      </c>
    </row>
    <row r="47" spans="1:15" ht="15.4" x14ac:dyDescent="0.45">
      <c r="A47" s="8" t="s">
        <v>103</v>
      </c>
      <c r="B47" s="8" t="s">
        <v>151</v>
      </c>
      <c r="C47" s="8">
        <v>734</v>
      </c>
      <c r="D47" s="9" t="s">
        <v>48</v>
      </c>
      <c r="E47" s="8"/>
      <c r="F47" s="8"/>
      <c r="G47" s="8"/>
      <c r="H47" s="8" t="s">
        <v>38</v>
      </c>
      <c r="I47" s="4" t="s">
        <v>80</v>
      </c>
      <c r="J47" s="4" t="s">
        <v>80</v>
      </c>
      <c r="K47" s="4" t="s">
        <v>191</v>
      </c>
      <c r="L47" s="6" t="s">
        <v>14</v>
      </c>
      <c r="M47" s="9" t="s">
        <v>189</v>
      </c>
      <c r="N47" s="4"/>
      <c r="O47">
        <v>55</v>
      </c>
    </row>
    <row r="48" spans="1:15" ht="15.4" x14ac:dyDescent="0.45">
      <c r="A48" s="8" t="s">
        <v>144</v>
      </c>
      <c r="B48" s="8" t="s">
        <v>162</v>
      </c>
      <c r="C48" s="8">
        <v>954</v>
      </c>
      <c r="D48" s="9" t="s">
        <v>38</v>
      </c>
      <c r="E48" s="8" t="s">
        <v>167</v>
      </c>
      <c r="F48" s="8" t="s">
        <v>151</v>
      </c>
      <c r="G48" s="8">
        <v>1132</v>
      </c>
      <c r="H48" s="8" t="s">
        <v>38</v>
      </c>
      <c r="I48" s="4" t="s">
        <v>66</v>
      </c>
      <c r="J48" s="4" t="s">
        <v>80</v>
      </c>
      <c r="K48" s="4" t="s">
        <v>191</v>
      </c>
      <c r="L48" s="6" t="s">
        <v>14</v>
      </c>
      <c r="M48" s="9" t="s">
        <v>189</v>
      </c>
      <c r="N48" s="4">
        <f>4390*1.852</f>
        <v>8130.2800000000007</v>
      </c>
      <c r="O48">
        <v>56</v>
      </c>
    </row>
    <row r="49" spans="1:15" ht="15.4" x14ac:dyDescent="0.45">
      <c r="A49" s="8" t="s">
        <v>151</v>
      </c>
      <c r="B49" s="8" t="s">
        <v>167</v>
      </c>
      <c r="C49" s="8">
        <v>1132</v>
      </c>
      <c r="D49" s="9" t="s">
        <v>38</v>
      </c>
      <c r="E49" s="10" t="s">
        <v>170</v>
      </c>
      <c r="F49" s="10" t="s">
        <v>168</v>
      </c>
      <c r="G49" s="8">
        <v>303</v>
      </c>
      <c r="H49" s="8" t="s">
        <v>38</v>
      </c>
      <c r="I49" s="6" t="s">
        <v>80</v>
      </c>
      <c r="J49" s="6" t="s">
        <v>30</v>
      </c>
      <c r="K49" s="6" t="s">
        <v>14</v>
      </c>
      <c r="L49" s="6" t="s">
        <v>20</v>
      </c>
      <c r="M49" s="9" t="s">
        <v>189</v>
      </c>
      <c r="N49" s="6">
        <f>4641*1.852</f>
        <v>8595.1319999999996</v>
      </c>
      <c r="O49">
        <v>9</v>
      </c>
    </row>
    <row r="50" spans="1:15" ht="15.4" x14ac:dyDescent="0.45">
      <c r="A50" s="8" t="s">
        <v>137</v>
      </c>
      <c r="B50" s="8" t="s">
        <v>155</v>
      </c>
      <c r="C50" s="8">
        <v>1482</v>
      </c>
      <c r="D50" s="9" t="s">
        <v>38</v>
      </c>
      <c r="E50" s="8" t="s">
        <v>169</v>
      </c>
      <c r="F50" s="8" t="s">
        <v>152</v>
      </c>
      <c r="G50" s="8">
        <v>392</v>
      </c>
      <c r="H50" s="8" t="s">
        <v>38</v>
      </c>
      <c r="I50" s="4" t="s">
        <v>47</v>
      </c>
      <c r="J50" s="4" t="s">
        <v>188</v>
      </c>
      <c r="K50" s="4" t="s">
        <v>191</v>
      </c>
      <c r="L50" s="6" t="s">
        <v>14</v>
      </c>
      <c r="M50" s="9" t="s">
        <v>189</v>
      </c>
      <c r="N50" s="4">
        <f>4068*1.852</f>
        <v>7533.9360000000006</v>
      </c>
      <c r="O50">
        <v>57</v>
      </c>
    </row>
    <row r="51" spans="1:15" ht="15.4" x14ac:dyDescent="0.45">
      <c r="A51" s="8" t="s">
        <v>152</v>
      </c>
      <c r="B51" s="8" t="s">
        <v>169</v>
      </c>
      <c r="C51" s="8">
        <v>392</v>
      </c>
      <c r="D51" s="9" t="s">
        <v>38</v>
      </c>
      <c r="E51" s="10" t="s">
        <v>170</v>
      </c>
      <c r="F51" s="10" t="s">
        <v>168</v>
      </c>
      <c r="G51" s="8">
        <v>303</v>
      </c>
      <c r="H51" s="8" t="s">
        <v>38</v>
      </c>
      <c r="I51" s="6" t="s">
        <v>188</v>
      </c>
      <c r="J51" s="6" t="s">
        <v>30</v>
      </c>
      <c r="K51" s="6" t="s">
        <v>14</v>
      </c>
      <c r="L51" s="6" t="s">
        <v>20</v>
      </c>
      <c r="M51" s="9" t="s">
        <v>189</v>
      </c>
      <c r="N51" s="6">
        <f>8359*1.852</f>
        <v>15480.868</v>
      </c>
      <c r="O51">
        <v>10</v>
      </c>
    </row>
    <row r="52" spans="1:15" ht="15.4" x14ac:dyDescent="0.45">
      <c r="A52" s="8" t="s">
        <v>135</v>
      </c>
      <c r="B52" s="8" t="s">
        <v>153</v>
      </c>
      <c r="C52" s="8">
        <v>741</v>
      </c>
      <c r="D52" s="9" t="s">
        <v>38</v>
      </c>
      <c r="E52" s="8"/>
      <c r="F52" s="8"/>
      <c r="G52" s="8"/>
      <c r="H52" s="8" t="s">
        <v>38</v>
      </c>
      <c r="I52" s="4" t="s">
        <v>13</v>
      </c>
      <c r="J52" s="4" t="s">
        <v>13</v>
      </c>
      <c r="K52" s="4" t="s">
        <v>191</v>
      </c>
      <c r="L52" s="6" t="s">
        <v>14</v>
      </c>
      <c r="M52" s="9" t="s">
        <v>189</v>
      </c>
      <c r="N52" s="4"/>
      <c r="O52">
        <v>58</v>
      </c>
    </row>
    <row r="53" spans="1:15" ht="15.4" x14ac:dyDescent="0.45">
      <c r="A53" s="8" t="s">
        <v>136</v>
      </c>
      <c r="B53" s="8" t="s">
        <v>154</v>
      </c>
      <c r="C53" s="8">
        <v>377</v>
      </c>
      <c r="D53" s="9" t="s">
        <v>38</v>
      </c>
      <c r="E53" s="8" t="s">
        <v>145</v>
      </c>
      <c r="F53" s="8" t="s">
        <v>148</v>
      </c>
      <c r="G53" s="8">
        <v>100</v>
      </c>
      <c r="H53" s="8" t="s">
        <v>38</v>
      </c>
      <c r="I53" s="4" t="s">
        <v>19</v>
      </c>
      <c r="J53" s="4" t="s">
        <v>13</v>
      </c>
      <c r="K53" s="4" t="s">
        <v>191</v>
      </c>
      <c r="L53" s="6" t="s">
        <v>14</v>
      </c>
      <c r="M53" s="9" t="s">
        <v>189</v>
      </c>
      <c r="N53" s="4">
        <f>3919*1.852</f>
        <v>7257.9880000000003</v>
      </c>
      <c r="O53">
        <v>59</v>
      </c>
    </row>
    <row r="54" spans="1:15" ht="15.4" x14ac:dyDescent="0.45">
      <c r="A54" s="8" t="s">
        <v>137</v>
      </c>
      <c r="B54" s="8" t="s">
        <v>155</v>
      </c>
      <c r="C54" s="8">
        <v>1482</v>
      </c>
      <c r="D54" s="9" t="s">
        <v>38</v>
      </c>
      <c r="E54" s="8" t="s">
        <v>145</v>
      </c>
      <c r="F54" s="8" t="s">
        <v>148</v>
      </c>
      <c r="G54" s="8">
        <v>100</v>
      </c>
      <c r="H54" s="8" t="s">
        <v>38</v>
      </c>
      <c r="I54" s="4" t="s">
        <v>47</v>
      </c>
      <c r="J54" s="4" t="s">
        <v>13</v>
      </c>
      <c r="K54" s="4" t="s">
        <v>191</v>
      </c>
      <c r="L54" s="6" t="s">
        <v>14</v>
      </c>
      <c r="M54" s="9" t="s">
        <v>189</v>
      </c>
      <c r="N54" s="4">
        <f>11023*1.852</f>
        <v>20414.596000000001</v>
      </c>
      <c r="O54">
        <v>60</v>
      </c>
    </row>
    <row r="55" spans="1:15" ht="15.4" x14ac:dyDescent="0.45">
      <c r="A55" s="8" t="s">
        <v>138</v>
      </c>
      <c r="B55" s="8" t="s">
        <v>156</v>
      </c>
      <c r="C55" s="8">
        <v>703</v>
      </c>
      <c r="D55" s="9" t="s">
        <v>38</v>
      </c>
      <c r="E55" s="8" t="s">
        <v>145</v>
      </c>
      <c r="F55" s="8" t="s">
        <v>148</v>
      </c>
      <c r="G55" s="8">
        <v>100</v>
      </c>
      <c r="H55" s="8" t="s">
        <v>38</v>
      </c>
      <c r="I55" s="4" t="s">
        <v>186</v>
      </c>
      <c r="J55" s="4" t="s">
        <v>13</v>
      </c>
      <c r="K55" s="4" t="s">
        <v>191</v>
      </c>
      <c r="L55" s="6" t="s">
        <v>14</v>
      </c>
      <c r="M55" s="9" t="s">
        <v>189</v>
      </c>
      <c r="N55" s="4">
        <f>3602*1.852</f>
        <v>6670.9040000000005</v>
      </c>
      <c r="O55">
        <v>61</v>
      </c>
    </row>
    <row r="56" spans="1:15" ht="15.4" x14ac:dyDescent="0.45">
      <c r="A56" s="8" t="s">
        <v>139</v>
      </c>
      <c r="B56" s="8" t="s">
        <v>157</v>
      </c>
      <c r="C56" s="8">
        <v>90</v>
      </c>
      <c r="D56" s="9" t="s">
        <v>38</v>
      </c>
      <c r="E56" s="8" t="s">
        <v>145</v>
      </c>
      <c r="F56" s="8" t="s">
        <v>148</v>
      </c>
      <c r="G56" s="8">
        <v>100</v>
      </c>
      <c r="H56" s="8" t="s">
        <v>38</v>
      </c>
      <c r="I56" s="4" t="s">
        <v>181</v>
      </c>
      <c r="J56" s="4" t="s">
        <v>13</v>
      </c>
      <c r="K56" s="4" t="s">
        <v>191</v>
      </c>
      <c r="L56" s="6" t="s">
        <v>14</v>
      </c>
      <c r="M56" s="9" t="s">
        <v>189</v>
      </c>
      <c r="N56" s="4">
        <f>9618*1.852</f>
        <v>17812.536</v>
      </c>
      <c r="O56">
        <v>62</v>
      </c>
    </row>
    <row r="57" spans="1:15" ht="15.4" x14ac:dyDescent="0.45">
      <c r="A57" s="8" t="s">
        <v>140</v>
      </c>
      <c r="B57" s="8" t="s">
        <v>158</v>
      </c>
      <c r="C57" s="8">
        <v>1400</v>
      </c>
      <c r="D57" s="9" t="s">
        <v>48</v>
      </c>
      <c r="E57" s="8" t="s">
        <v>171</v>
      </c>
      <c r="F57" s="8" t="s">
        <v>176</v>
      </c>
      <c r="G57" s="8">
        <v>4700</v>
      </c>
      <c r="H57" s="9" t="s">
        <v>48</v>
      </c>
      <c r="I57" s="4" t="s">
        <v>182</v>
      </c>
      <c r="J57" s="4" t="s">
        <v>13</v>
      </c>
      <c r="K57" s="4" t="s">
        <v>191</v>
      </c>
      <c r="L57" s="6" t="s">
        <v>14</v>
      </c>
      <c r="M57" s="9" t="s">
        <v>189</v>
      </c>
      <c r="N57" s="4">
        <f>10284*1.852</f>
        <v>19045.968000000001</v>
      </c>
      <c r="O57">
        <v>63</v>
      </c>
    </row>
    <row r="58" spans="1:15" ht="15.4" x14ac:dyDescent="0.45">
      <c r="A58" s="8" t="s">
        <v>141</v>
      </c>
      <c r="B58" s="8" t="s">
        <v>159</v>
      </c>
      <c r="C58" s="8">
        <v>361</v>
      </c>
      <c r="D58" s="9" t="s">
        <v>38</v>
      </c>
      <c r="E58" s="8" t="s">
        <v>145</v>
      </c>
      <c r="F58" s="8" t="s">
        <v>148</v>
      </c>
      <c r="G58" s="8">
        <v>100</v>
      </c>
      <c r="H58" s="8" t="s">
        <v>38</v>
      </c>
      <c r="I58" s="4" t="s">
        <v>183</v>
      </c>
      <c r="J58" s="4" t="s">
        <v>13</v>
      </c>
      <c r="K58" s="4" t="s">
        <v>191</v>
      </c>
      <c r="L58" s="6" t="s">
        <v>14</v>
      </c>
      <c r="M58" s="9" t="s">
        <v>189</v>
      </c>
      <c r="N58" s="4"/>
      <c r="O58">
        <v>64</v>
      </c>
    </row>
    <row r="59" spans="1:15" ht="15.4" x14ac:dyDescent="0.45">
      <c r="A59" s="8" t="s">
        <v>142</v>
      </c>
      <c r="B59" s="8" t="s">
        <v>160</v>
      </c>
      <c r="C59" s="8">
        <v>238</v>
      </c>
      <c r="D59" s="9" t="s">
        <v>38</v>
      </c>
      <c r="E59" s="8" t="s">
        <v>145</v>
      </c>
      <c r="F59" s="8" t="s">
        <v>148</v>
      </c>
      <c r="G59" s="8">
        <v>100</v>
      </c>
      <c r="H59" s="8" t="s">
        <v>38</v>
      </c>
      <c r="I59" s="4" t="s">
        <v>184</v>
      </c>
      <c r="J59" s="4" t="s">
        <v>13</v>
      </c>
      <c r="K59" s="4" t="s">
        <v>191</v>
      </c>
      <c r="L59" s="6" t="s">
        <v>14</v>
      </c>
      <c r="M59" s="9" t="s">
        <v>189</v>
      </c>
      <c r="N59" s="4">
        <f>2069*1.852</f>
        <v>3831.788</v>
      </c>
      <c r="O59">
        <v>65</v>
      </c>
    </row>
    <row r="60" spans="1:15" ht="15.4" x14ac:dyDescent="0.45">
      <c r="A60" s="8" t="s">
        <v>143</v>
      </c>
      <c r="B60" s="8" t="s">
        <v>161</v>
      </c>
      <c r="C60" s="8">
        <v>708</v>
      </c>
      <c r="D60" s="9" t="s">
        <v>38</v>
      </c>
      <c r="E60" s="8" t="s">
        <v>145</v>
      </c>
      <c r="F60" s="8" t="s">
        <v>148</v>
      </c>
      <c r="G60" s="8">
        <v>100</v>
      </c>
      <c r="H60" s="8" t="s">
        <v>38</v>
      </c>
      <c r="I60" s="4" t="s">
        <v>185</v>
      </c>
      <c r="J60" s="4" t="s">
        <v>13</v>
      </c>
      <c r="K60" s="4" t="s">
        <v>191</v>
      </c>
      <c r="L60" s="6" t="s">
        <v>14</v>
      </c>
      <c r="M60" s="9" t="s">
        <v>189</v>
      </c>
      <c r="N60" s="4">
        <f>6046*1.852</f>
        <v>11197.192000000001</v>
      </c>
      <c r="O60">
        <v>66</v>
      </c>
    </row>
    <row r="61" spans="1:15" ht="15.4" x14ac:dyDescent="0.45">
      <c r="A61" s="8" t="s">
        <v>144</v>
      </c>
      <c r="B61" s="8" t="s">
        <v>162</v>
      </c>
      <c r="C61" s="8">
        <v>954</v>
      </c>
      <c r="D61" s="9" t="s">
        <v>38</v>
      </c>
      <c r="E61" s="8" t="s">
        <v>145</v>
      </c>
      <c r="F61" s="8" t="s">
        <v>148</v>
      </c>
      <c r="G61" s="8">
        <v>100</v>
      </c>
      <c r="H61" s="8" t="s">
        <v>38</v>
      </c>
      <c r="I61" s="4" t="s">
        <v>66</v>
      </c>
      <c r="J61" s="4" t="s">
        <v>13</v>
      </c>
      <c r="K61" s="4" t="s">
        <v>191</v>
      </c>
      <c r="L61" s="6" t="s">
        <v>14</v>
      </c>
      <c r="M61" s="9" t="s">
        <v>189</v>
      </c>
      <c r="N61" s="4">
        <f>7699*1.852</f>
        <v>14258.548000000001</v>
      </c>
      <c r="O61">
        <v>67</v>
      </c>
    </row>
    <row r="62" spans="1:15" ht="15.4" x14ac:dyDescent="0.45">
      <c r="A62" s="8" t="s">
        <v>148</v>
      </c>
      <c r="B62" s="8" t="s">
        <v>145</v>
      </c>
      <c r="C62" s="8">
        <v>100</v>
      </c>
      <c r="D62" s="9" t="s">
        <v>38</v>
      </c>
      <c r="E62" s="8" t="s">
        <v>175</v>
      </c>
      <c r="F62" s="8" t="s">
        <v>180</v>
      </c>
      <c r="G62" s="8">
        <v>250</v>
      </c>
      <c r="H62" s="8" t="s">
        <v>38</v>
      </c>
      <c r="I62" s="6" t="s">
        <v>13</v>
      </c>
      <c r="J62" s="6" t="s">
        <v>35</v>
      </c>
      <c r="K62" s="6" t="s">
        <v>14</v>
      </c>
      <c r="L62" s="6" t="s">
        <v>20</v>
      </c>
      <c r="M62" s="9" t="s">
        <v>189</v>
      </c>
      <c r="N62" s="6">
        <f>492*1.852</f>
        <v>911.18400000000008</v>
      </c>
      <c r="O62">
        <v>11</v>
      </c>
    </row>
    <row r="63" spans="1:15" ht="15.4" x14ac:dyDescent="0.45">
      <c r="A63" s="8" t="s">
        <v>136</v>
      </c>
      <c r="B63" s="8" t="s">
        <v>154</v>
      </c>
      <c r="C63" s="8">
        <v>377</v>
      </c>
      <c r="D63" s="9" t="s">
        <v>38</v>
      </c>
      <c r="E63" s="8" t="s">
        <v>170</v>
      </c>
      <c r="F63" s="8" t="s">
        <v>150</v>
      </c>
      <c r="G63" s="8">
        <v>329</v>
      </c>
      <c r="H63" s="8" t="s">
        <v>38</v>
      </c>
      <c r="I63" s="4" t="s">
        <v>19</v>
      </c>
      <c r="J63" s="4" t="s">
        <v>30</v>
      </c>
      <c r="K63" s="4" t="s">
        <v>191</v>
      </c>
      <c r="L63" s="6" t="s">
        <v>14</v>
      </c>
      <c r="M63" s="9" t="s">
        <v>189</v>
      </c>
      <c r="N63" s="4">
        <f>4012*1.852</f>
        <v>7430.2240000000002</v>
      </c>
      <c r="O63">
        <v>68</v>
      </c>
    </row>
    <row r="64" spans="1:15" ht="15.4" x14ac:dyDescent="0.45">
      <c r="A64" s="8" t="s">
        <v>137</v>
      </c>
      <c r="B64" s="8" t="s">
        <v>155</v>
      </c>
      <c r="C64" s="8">
        <v>1482</v>
      </c>
      <c r="D64" s="9" t="s">
        <v>38</v>
      </c>
      <c r="E64" s="8" t="s">
        <v>170</v>
      </c>
      <c r="F64" s="8" t="s">
        <v>150</v>
      </c>
      <c r="G64" s="8">
        <v>329</v>
      </c>
      <c r="H64" s="8" t="s">
        <v>38</v>
      </c>
      <c r="I64" s="4" t="s">
        <v>47</v>
      </c>
      <c r="J64" s="4" t="s">
        <v>30</v>
      </c>
      <c r="K64" s="4" t="s">
        <v>191</v>
      </c>
      <c r="L64" s="6" t="s">
        <v>14</v>
      </c>
      <c r="M64" s="9" t="s">
        <v>189</v>
      </c>
      <c r="N64" s="4">
        <f>11488*1.852</f>
        <v>21275.776000000002</v>
      </c>
      <c r="O64">
        <v>69</v>
      </c>
    </row>
    <row r="65" spans="1:15" ht="15.4" x14ac:dyDescent="0.45">
      <c r="A65" s="8" t="s">
        <v>149</v>
      </c>
      <c r="B65" s="8" t="s">
        <v>166</v>
      </c>
      <c r="C65" s="8">
        <v>1000</v>
      </c>
      <c r="D65" s="9" t="s">
        <v>38</v>
      </c>
      <c r="E65" s="8" t="s">
        <v>170</v>
      </c>
      <c r="F65" s="8" t="s">
        <v>150</v>
      </c>
      <c r="G65" s="8">
        <v>329</v>
      </c>
      <c r="H65" s="8" t="s">
        <v>38</v>
      </c>
      <c r="I65" s="4" t="s">
        <v>13</v>
      </c>
      <c r="J65" s="4" t="s">
        <v>30</v>
      </c>
      <c r="K65" s="4" t="s">
        <v>191</v>
      </c>
      <c r="L65" s="6" t="s">
        <v>14</v>
      </c>
      <c r="M65" s="9" t="s">
        <v>189</v>
      </c>
      <c r="N65" s="4">
        <f>761*1.852</f>
        <v>1409.3720000000001</v>
      </c>
      <c r="O65">
        <v>70</v>
      </c>
    </row>
    <row r="66" spans="1:15" ht="15.4" x14ac:dyDescent="0.45">
      <c r="A66" s="8" t="s">
        <v>138</v>
      </c>
      <c r="B66" s="8" t="s">
        <v>156</v>
      </c>
      <c r="C66" s="8">
        <v>703</v>
      </c>
      <c r="D66" s="9" t="s">
        <v>38</v>
      </c>
      <c r="E66" s="8" t="s">
        <v>170</v>
      </c>
      <c r="F66" s="8" t="s">
        <v>150</v>
      </c>
      <c r="G66" s="8">
        <v>329</v>
      </c>
      <c r="H66" s="8" t="s">
        <v>38</v>
      </c>
      <c r="I66" s="4" t="s">
        <v>181</v>
      </c>
      <c r="J66" s="4" t="s">
        <v>30</v>
      </c>
      <c r="K66" s="4" t="s">
        <v>191</v>
      </c>
      <c r="L66" s="6" t="s">
        <v>14</v>
      </c>
      <c r="M66" s="9" t="s">
        <v>189</v>
      </c>
      <c r="N66" s="4">
        <f>10083*1.852</f>
        <v>18673.716</v>
      </c>
      <c r="O66">
        <v>71</v>
      </c>
    </row>
    <row r="67" spans="1:15" ht="15.4" x14ac:dyDescent="0.45">
      <c r="A67" s="8" t="s">
        <v>103</v>
      </c>
      <c r="B67" s="8" t="s">
        <v>167</v>
      </c>
      <c r="C67" s="8">
        <v>1893</v>
      </c>
      <c r="D67" s="9" t="s">
        <v>48</v>
      </c>
      <c r="E67" s="8" t="s">
        <v>170</v>
      </c>
      <c r="F67" s="8" t="s">
        <v>150</v>
      </c>
      <c r="G67" s="8">
        <v>329</v>
      </c>
      <c r="H67" s="8" t="s">
        <v>38</v>
      </c>
      <c r="I67" s="4" t="s">
        <v>80</v>
      </c>
      <c r="J67" s="4" t="s">
        <v>30</v>
      </c>
      <c r="K67" s="4" t="s">
        <v>191</v>
      </c>
      <c r="L67" s="6" t="s">
        <v>14</v>
      </c>
      <c r="M67" s="9" t="s">
        <v>189</v>
      </c>
      <c r="N67" s="4">
        <f>4641*1.852</f>
        <v>8595.1319999999996</v>
      </c>
      <c r="O67">
        <v>72</v>
      </c>
    </row>
    <row r="68" spans="1:15" ht="15.4" x14ac:dyDescent="0.45">
      <c r="A68" s="8" t="s">
        <v>144</v>
      </c>
      <c r="B68" s="8" t="s">
        <v>162</v>
      </c>
      <c r="C68" s="8">
        <v>954</v>
      </c>
      <c r="D68" s="9" t="s">
        <v>38</v>
      </c>
      <c r="E68" s="8" t="s">
        <v>170</v>
      </c>
      <c r="F68" s="8" t="s">
        <v>150</v>
      </c>
      <c r="G68" s="8">
        <v>329</v>
      </c>
      <c r="H68" s="8" t="s">
        <v>38</v>
      </c>
      <c r="I68" s="4" t="s">
        <v>66</v>
      </c>
      <c r="J68" s="4" t="s">
        <v>30</v>
      </c>
      <c r="K68" s="4" t="s">
        <v>191</v>
      </c>
      <c r="L68" s="6" t="s">
        <v>14</v>
      </c>
      <c r="M68" s="9" t="s">
        <v>189</v>
      </c>
      <c r="N68" s="4">
        <f>8164*1.852</f>
        <v>15119.728000000001</v>
      </c>
      <c r="O68">
        <v>73</v>
      </c>
    </row>
    <row r="69" spans="1:15" ht="15.4" x14ac:dyDescent="0.45">
      <c r="A69" s="8" t="s">
        <v>150</v>
      </c>
      <c r="B69" s="8" t="s">
        <v>170</v>
      </c>
      <c r="C69" s="8">
        <v>329</v>
      </c>
      <c r="D69" s="9" t="s">
        <v>38</v>
      </c>
      <c r="E69" s="8" t="s">
        <v>175</v>
      </c>
      <c r="F69" s="8" t="s">
        <v>180</v>
      </c>
      <c r="G69" s="8">
        <v>250</v>
      </c>
      <c r="H69" s="8" t="s">
        <v>38</v>
      </c>
      <c r="I69" s="6" t="s">
        <v>30</v>
      </c>
      <c r="J69" s="6" t="s">
        <v>35</v>
      </c>
      <c r="K69" s="6" t="s">
        <v>14</v>
      </c>
      <c r="L69" s="6" t="s">
        <v>20</v>
      </c>
      <c r="M69" s="9" t="s">
        <v>189</v>
      </c>
      <c r="N69" s="6">
        <f>340*1.852</f>
        <v>629.68000000000006</v>
      </c>
      <c r="O69">
        <v>12</v>
      </c>
    </row>
    <row r="70" spans="1:15" ht="15.4" x14ac:dyDescent="0.45">
      <c r="A70" s="8" t="s">
        <v>137</v>
      </c>
      <c r="B70" s="8" t="s">
        <v>155</v>
      </c>
      <c r="C70" s="8">
        <v>1482</v>
      </c>
      <c r="D70" s="9" t="s">
        <v>38</v>
      </c>
      <c r="E70" s="8" t="s">
        <v>172</v>
      </c>
      <c r="F70" s="8" t="s">
        <v>177</v>
      </c>
      <c r="G70" s="8">
        <v>1306</v>
      </c>
      <c r="H70" s="8" t="s">
        <v>38</v>
      </c>
      <c r="I70" s="4" t="s">
        <v>47</v>
      </c>
      <c r="J70" s="4" t="s">
        <v>31</v>
      </c>
      <c r="K70" s="4" t="s">
        <v>191</v>
      </c>
      <c r="L70" s="6" t="s">
        <v>14</v>
      </c>
      <c r="M70" s="9" t="s">
        <v>189</v>
      </c>
      <c r="N70" s="4">
        <f>4873*1.852</f>
        <v>9024.7960000000003</v>
      </c>
      <c r="O70">
        <v>74</v>
      </c>
    </row>
    <row r="71" spans="1:15" ht="15.4" x14ac:dyDescent="0.45">
      <c r="A71" s="8" t="s">
        <v>138</v>
      </c>
      <c r="B71" s="8" t="s">
        <v>156</v>
      </c>
      <c r="C71" s="8">
        <v>703</v>
      </c>
      <c r="D71" s="9" t="s">
        <v>38</v>
      </c>
      <c r="E71" s="8" t="s">
        <v>173</v>
      </c>
      <c r="F71" s="8" t="s">
        <v>178</v>
      </c>
      <c r="G71" s="8">
        <v>408</v>
      </c>
      <c r="H71" s="8" t="s">
        <v>38</v>
      </c>
      <c r="I71" s="4" t="s">
        <v>181</v>
      </c>
      <c r="J71" s="4" t="s">
        <v>31</v>
      </c>
      <c r="K71" s="4" t="s">
        <v>191</v>
      </c>
      <c r="L71" s="6" t="s">
        <v>14</v>
      </c>
      <c r="M71" s="9" t="s">
        <v>189</v>
      </c>
      <c r="N71" s="4">
        <f>5333*1.852</f>
        <v>9876.7160000000003</v>
      </c>
      <c r="O71">
        <v>75</v>
      </c>
    </row>
    <row r="72" spans="1:15" ht="15.4" x14ac:dyDescent="0.45">
      <c r="A72" s="8" t="s">
        <v>142</v>
      </c>
      <c r="B72" s="8" t="s">
        <v>160</v>
      </c>
      <c r="C72" s="8">
        <v>238</v>
      </c>
      <c r="D72" s="9" t="s">
        <v>38</v>
      </c>
      <c r="E72" s="8" t="s">
        <v>174</v>
      </c>
      <c r="F72" s="8" t="s">
        <v>179</v>
      </c>
      <c r="G72" s="8">
        <v>1467</v>
      </c>
      <c r="H72" s="8" t="s">
        <v>38</v>
      </c>
      <c r="I72" s="4" t="s">
        <v>185</v>
      </c>
      <c r="J72" s="4" t="s">
        <v>31</v>
      </c>
      <c r="K72" s="4" t="s">
        <v>191</v>
      </c>
      <c r="L72" s="6" t="s">
        <v>14</v>
      </c>
      <c r="M72" s="9" t="s">
        <v>189</v>
      </c>
      <c r="N72" s="4">
        <f>4556*1.852</f>
        <v>8437.7119999999995</v>
      </c>
      <c r="O72">
        <v>76</v>
      </c>
    </row>
    <row r="73" spans="1:15" ht="15.4" x14ac:dyDescent="0.45">
      <c r="A73" s="8" t="s">
        <v>144</v>
      </c>
      <c r="B73" s="8" t="s">
        <v>162</v>
      </c>
      <c r="C73" s="8">
        <v>954</v>
      </c>
      <c r="D73" s="9" t="s">
        <v>38</v>
      </c>
      <c r="E73" s="8" t="s">
        <v>165</v>
      </c>
      <c r="F73" s="8" t="s">
        <v>147</v>
      </c>
      <c r="G73" s="8">
        <v>885</v>
      </c>
      <c r="H73" s="8" t="s">
        <v>38</v>
      </c>
      <c r="I73" s="4" t="s">
        <v>66</v>
      </c>
      <c r="J73" s="4" t="s">
        <v>31</v>
      </c>
      <c r="K73" s="4" t="s">
        <v>191</v>
      </c>
      <c r="L73" s="6" t="s">
        <v>14</v>
      </c>
      <c r="M73" s="9" t="s">
        <v>189</v>
      </c>
      <c r="N73" s="4">
        <f>6789*1.852</f>
        <v>12573.228000000001</v>
      </c>
      <c r="O73">
        <v>77</v>
      </c>
    </row>
    <row r="74" spans="1:15" ht="15.4" x14ac:dyDescent="0.45">
      <c r="A74" s="8" t="s">
        <v>146</v>
      </c>
      <c r="B74" s="8" t="s">
        <v>164</v>
      </c>
      <c r="C74" s="8">
        <v>90</v>
      </c>
      <c r="D74" s="9" t="s">
        <v>38</v>
      </c>
      <c r="E74" s="8" t="s">
        <v>173</v>
      </c>
      <c r="F74" s="8" t="s">
        <v>178</v>
      </c>
      <c r="G74" s="8">
        <v>408</v>
      </c>
      <c r="H74" s="8" t="s">
        <v>38</v>
      </c>
      <c r="I74" s="4" t="s">
        <v>187</v>
      </c>
      <c r="J74" s="4" t="s">
        <v>31</v>
      </c>
      <c r="K74" s="4" t="s">
        <v>191</v>
      </c>
      <c r="L74" s="6" t="s">
        <v>14</v>
      </c>
      <c r="M74" s="9" t="s">
        <v>189</v>
      </c>
      <c r="N74" s="4">
        <f>5566*1.852</f>
        <v>10308.232</v>
      </c>
      <c r="O74">
        <v>78</v>
      </c>
    </row>
    <row r="75" spans="1:15" ht="15.4" x14ac:dyDescent="0.45">
      <c r="A75" s="8" t="s">
        <v>147</v>
      </c>
      <c r="B75" s="8" t="s">
        <v>165</v>
      </c>
      <c r="C75" s="8">
        <v>885</v>
      </c>
      <c r="D75" s="9" t="s">
        <v>38</v>
      </c>
      <c r="E75" s="8" t="s">
        <v>175</v>
      </c>
      <c r="F75" s="8" t="s">
        <v>180</v>
      </c>
      <c r="G75" s="8">
        <v>250</v>
      </c>
      <c r="H75" s="8" t="s">
        <v>38</v>
      </c>
      <c r="I75" s="6" t="s">
        <v>31</v>
      </c>
      <c r="J75" s="6" t="s">
        <v>35</v>
      </c>
      <c r="K75" s="6" t="s">
        <v>14</v>
      </c>
      <c r="L75" s="6" t="s">
        <v>20</v>
      </c>
      <c r="M75" s="9" t="s">
        <v>189</v>
      </c>
      <c r="N75" s="6">
        <f>10085*1.852</f>
        <v>18677.420000000002</v>
      </c>
      <c r="O75">
        <v>13</v>
      </c>
    </row>
    <row r="76" spans="1:15" ht="15.4" x14ac:dyDescent="0.45">
      <c r="A76" s="8" t="s">
        <v>136</v>
      </c>
      <c r="B76" s="8" t="s">
        <v>154</v>
      </c>
      <c r="C76" s="8">
        <v>377</v>
      </c>
      <c r="D76" s="9" t="s">
        <v>38</v>
      </c>
      <c r="E76" s="8" t="s">
        <v>167</v>
      </c>
      <c r="F76" s="8" t="s">
        <v>151</v>
      </c>
      <c r="G76" s="8">
        <v>1132</v>
      </c>
      <c r="H76" s="8" t="s">
        <v>38</v>
      </c>
      <c r="I76" s="4" t="s">
        <v>19</v>
      </c>
      <c r="J76" s="4" t="s">
        <v>80</v>
      </c>
      <c r="K76" s="4" t="s">
        <v>191</v>
      </c>
      <c r="L76" s="6" t="s">
        <v>14</v>
      </c>
      <c r="M76" s="9" t="s">
        <v>189</v>
      </c>
      <c r="N76" s="4">
        <f>5197*1.852</f>
        <v>9624.844000000001</v>
      </c>
      <c r="O76">
        <v>79</v>
      </c>
    </row>
    <row r="77" spans="1:15" ht="15.4" x14ac:dyDescent="0.45">
      <c r="A77" s="8" t="s">
        <v>137</v>
      </c>
      <c r="B77" s="8" t="s">
        <v>155</v>
      </c>
      <c r="C77" s="8">
        <v>1482</v>
      </c>
      <c r="D77" s="9" t="s">
        <v>38</v>
      </c>
      <c r="E77" s="8" t="s">
        <v>167</v>
      </c>
      <c r="F77" s="8" t="s">
        <v>151</v>
      </c>
      <c r="G77" s="8">
        <v>1132</v>
      </c>
      <c r="H77" s="8" t="s">
        <v>38</v>
      </c>
      <c r="I77" s="4" t="s">
        <v>47</v>
      </c>
      <c r="J77" s="4" t="s">
        <v>80</v>
      </c>
      <c r="K77" s="4" t="s">
        <v>191</v>
      </c>
      <c r="L77" s="6" t="s">
        <v>14</v>
      </c>
      <c r="M77" s="9" t="s">
        <v>189</v>
      </c>
      <c r="N77" s="4">
        <f>7714*1.852</f>
        <v>14286.328000000001</v>
      </c>
      <c r="O77">
        <v>80</v>
      </c>
    </row>
    <row r="78" spans="1:15" ht="15.4" x14ac:dyDescent="0.45">
      <c r="A78" s="8" t="s">
        <v>149</v>
      </c>
      <c r="B78" s="8" t="s">
        <v>166</v>
      </c>
      <c r="C78" s="8">
        <v>1000</v>
      </c>
      <c r="D78" s="9" t="s">
        <v>38</v>
      </c>
      <c r="E78" s="8" t="s">
        <v>167</v>
      </c>
      <c r="F78" s="8" t="s">
        <v>151</v>
      </c>
      <c r="G78" s="8">
        <v>1132</v>
      </c>
      <c r="H78" s="8" t="s">
        <v>38</v>
      </c>
      <c r="I78" s="4" t="s">
        <v>13</v>
      </c>
      <c r="J78" s="4" t="s">
        <v>80</v>
      </c>
      <c r="K78" s="4" t="s">
        <v>191</v>
      </c>
      <c r="L78" s="6" t="s">
        <v>14</v>
      </c>
      <c r="M78" s="9" t="s">
        <v>189</v>
      </c>
      <c r="N78" s="4">
        <f>3588*1.852</f>
        <v>6644.9760000000006</v>
      </c>
      <c r="O78">
        <v>81</v>
      </c>
    </row>
    <row r="79" spans="1:15" ht="15.4" x14ac:dyDescent="0.45">
      <c r="A79" s="8" t="s">
        <v>138</v>
      </c>
      <c r="B79" s="8" t="s">
        <v>156</v>
      </c>
      <c r="C79" s="8">
        <v>703</v>
      </c>
      <c r="D79" s="9" t="s">
        <v>38</v>
      </c>
      <c r="E79" s="8" t="s">
        <v>167</v>
      </c>
      <c r="F79" s="8" t="s">
        <v>151</v>
      </c>
      <c r="G79" s="8">
        <v>1132</v>
      </c>
      <c r="H79" s="8" t="s">
        <v>38</v>
      </c>
      <c r="I79" s="4" t="s">
        <v>181</v>
      </c>
      <c r="J79" s="4" t="s">
        <v>80</v>
      </c>
      <c r="K79" s="4" t="s">
        <v>191</v>
      </c>
      <c r="L79" s="6" t="s">
        <v>14</v>
      </c>
      <c r="M79" s="9" t="s">
        <v>189</v>
      </c>
      <c r="N79" s="4">
        <f>6309*1.852</f>
        <v>11684.268</v>
      </c>
      <c r="O79">
        <v>82</v>
      </c>
    </row>
    <row r="80" spans="1:15" ht="15.4" x14ac:dyDescent="0.45">
      <c r="A80" s="8" t="s">
        <v>103</v>
      </c>
      <c r="B80" s="8" t="s">
        <v>151</v>
      </c>
      <c r="C80" s="8">
        <v>734</v>
      </c>
      <c r="D80" s="9" t="s">
        <v>48</v>
      </c>
      <c r="E80" s="8"/>
      <c r="F80" s="8"/>
      <c r="G80" s="8"/>
      <c r="H80" s="8" t="s">
        <v>38</v>
      </c>
      <c r="I80" s="4" t="s">
        <v>80</v>
      </c>
      <c r="J80" s="4" t="s">
        <v>80</v>
      </c>
      <c r="K80" s="4" t="s">
        <v>191</v>
      </c>
      <c r="L80" s="6" t="s">
        <v>14</v>
      </c>
      <c r="M80" s="9" t="s">
        <v>189</v>
      </c>
      <c r="N80" s="4"/>
      <c r="O80">
        <v>83</v>
      </c>
    </row>
    <row r="81" spans="1:15" ht="15.4" x14ac:dyDescent="0.45">
      <c r="A81" s="8" t="s">
        <v>144</v>
      </c>
      <c r="B81" s="8" t="s">
        <v>162</v>
      </c>
      <c r="C81" s="8">
        <v>954</v>
      </c>
      <c r="D81" s="9" t="s">
        <v>38</v>
      </c>
      <c r="E81" s="8" t="s">
        <v>167</v>
      </c>
      <c r="F81" s="8" t="s">
        <v>151</v>
      </c>
      <c r="G81" s="8">
        <v>1132</v>
      </c>
      <c r="H81" s="8" t="s">
        <v>38</v>
      </c>
      <c r="I81" s="4" t="s">
        <v>66</v>
      </c>
      <c r="J81" s="4" t="s">
        <v>80</v>
      </c>
      <c r="K81" s="4" t="s">
        <v>191</v>
      </c>
      <c r="L81" s="6" t="s">
        <v>14</v>
      </c>
      <c r="M81" s="9" t="s">
        <v>189</v>
      </c>
      <c r="N81" s="4">
        <f>4390*1.852</f>
        <v>8130.2800000000007</v>
      </c>
      <c r="O81">
        <v>84</v>
      </c>
    </row>
    <row r="82" spans="1:15" ht="15.4" x14ac:dyDescent="0.45">
      <c r="A82" s="8" t="s">
        <v>151</v>
      </c>
      <c r="B82" s="8" t="s">
        <v>167</v>
      </c>
      <c r="C82" s="8">
        <v>303</v>
      </c>
      <c r="D82" s="9" t="s">
        <v>38</v>
      </c>
      <c r="E82" s="8" t="s">
        <v>175</v>
      </c>
      <c r="F82" s="8" t="s">
        <v>180</v>
      </c>
      <c r="G82" s="8">
        <v>250</v>
      </c>
      <c r="H82" s="8" t="s">
        <v>38</v>
      </c>
      <c r="I82" s="6" t="s">
        <v>80</v>
      </c>
      <c r="J82" s="6" t="s">
        <v>35</v>
      </c>
      <c r="K82" s="6" t="s">
        <v>14</v>
      </c>
      <c r="L82" s="6" t="s">
        <v>20</v>
      </c>
      <c r="M82" s="9" t="s">
        <v>189</v>
      </c>
      <c r="N82" s="6">
        <f>4438*1.852</f>
        <v>8219.1760000000013</v>
      </c>
      <c r="O82">
        <v>14</v>
      </c>
    </row>
    <row r="83" spans="1:15" ht="15.4" x14ac:dyDescent="0.45">
      <c r="E8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</vt:lpstr>
      <vt:lpstr>Ni</vt:lpstr>
      <vt:lpstr>Co</vt:lpstr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Kumanduri, Tarun</dc:creator>
  <cp:lastModifiedBy>Tarun Kumanduri</cp:lastModifiedBy>
  <dcterms:created xsi:type="dcterms:W3CDTF">2025-01-29T18:43:38Z</dcterms:created>
  <dcterms:modified xsi:type="dcterms:W3CDTF">2025-02-20T22:00:49Z</dcterms:modified>
</cp:coreProperties>
</file>