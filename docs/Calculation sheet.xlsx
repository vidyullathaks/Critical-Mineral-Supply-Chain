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chi/Library/CloudStorage/Box-Box/Capstone 6099/Data/"/>
    </mc:Choice>
  </mc:AlternateContent>
  <xr:revisionPtr revIDLastSave="0" documentId="13_ncr:1_{28633A7A-21E2-634C-A78E-D54AA1B5572E}" xr6:coauthVersionLast="47" xr6:coauthVersionMax="47" xr10:uidLastSave="{00000000-0000-0000-0000-000000000000}"/>
  <bookViews>
    <workbookView xWindow="0" yWindow="0" windowWidth="28800" windowHeight="18000" xr2:uid="{50DE840A-2E05-EF4A-BB46-1730CF92F4DB}"/>
  </bookViews>
  <sheets>
    <sheet name="LNM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2" l="1"/>
  <c r="B114" i="2"/>
  <c r="V77" i="2"/>
  <c r="O77" i="2" s="1"/>
  <c r="V76" i="2"/>
  <c r="O76" i="2" s="1"/>
  <c r="V75" i="2"/>
  <c r="O75" i="2" s="1"/>
  <c r="U75" i="2"/>
  <c r="V74" i="2"/>
  <c r="O74" i="2" s="1"/>
  <c r="V73" i="2"/>
  <c r="O73" i="2" s="1"/>
  <c r="U73" i="2"/>
  <c r="V72" i="2"/>
  <c r="W72" i="2" s="1"/>
  <c r="V71" i="2"/>
  <c r="O71" i="2" s="1"/>
  <c r="U71" i="2"/>
  <c r="V70" i="2"/>
  <c r="O70" i="2" s="1"/>
  <c r="V69" i="2"/>
  <c r="O69" i="2" s="1"/>
  <c r="U69" i="2"/>
  <c r="V68" i="2"/>
  <c r="O68" i="2" s="1"/>
  <c r="U68" i="2"/>
  <c r="V67" i="2"/>
  <c r="O67" i="2" s="1"/>
  <c r="V66" i="2"/>
  <c r="O66" i="2" s="1"/>
  <c r="U66" i="2"/>
  <c r="V65" i="2"/>
  <c r="O65" i="2" s="1"/>
  <c r="V64" i="2"/>
  <c r="O64" i="2" s="1"/>
  <c r="U64" i="2"/>
  <c r="V63" i="2"/>
  <c r="W63" i="2" s="1"/>
  <c r="V62" i="2"/>
  <c r="O62" i="2" s="1"/>
  <c r="U62" i="2"/>
  <c r="V61" i="2"/>
  <c r="O61" i="2" s="1"/>
  <c r="V60" i="2"/>
  <c r="U60" i="2"/>
  <c r="V59" i="2"/>
  <c r="V58" i="2"/>
  <c r="O58" i="2" s="1"/>
  <c r="U58" i="2"/>
  <c r="V57" i="2"/>
  <c r="W57" i="2" s="1"/>
  <c r="V56" i="2"/>
  <c r="O56" i="2" s="1"/>
  <c r="U56" i="2"/>
  <c r="V55" i="2"/>
  <c r="O55" i="2" s="1"/>
  <c r="V54" i="2"/>
  <c r="O54" i="2" s="1"/>
  <c r="V53" i="2"/>
  <c r="O53" i="2" s="1"/>
  <c r="U53" i="2"/>
  <c r="V52" i="2"/>
  <c r="W52" i="2" s="1"/>
  <c r="V51" i="2"/>
  <c r="W51" i="2" s="1"/>
  <c r="V50" i="2"/>
  <c r="O50" i="2" s="1"/>
  <c r="V49" i="2"/>
  <c r="O49" i="2" s="1"/>
  <c r="U49" i="2"/>
  <c r="V48" i="2"/>
  <c r="W48" i="2" s="1"/>
  <c r="V47" i="2"/>
  <c r="O47" i="2" s="1"/>
  <c r="U47" i="2"/>
  <c r="V46" i="2"/>
  <c r="O46" i="2" s="1"/>
  <c r="V45" i="2"/>
  <c r="O45" i="2" s="1"/>
  <c r="U45" i="2"/>
  <c r="V44" i="2"/>
  <c r="W44" i="2" s="1"/>
  <c r="V43" i="2"/>
  <c r="O43" i="2" s="1"/>
  <c r="U43" i="2"/>
  <c r="V42" i="2"/>
  <c r="O42" i="2" s="1"/>
  <c r="U42" i="2"/>
  <c r="V41" i="2"/>
  <c r="W41" i="2" s="1"/>
  <c r="V40" i="2"/>
  <c r="U40" i="2"/>
  <c r="V39" i="2"/>
  <c r="V38" i="2"/>
  <c r="U38" i="2"/>
  <c r="V37" i="2"/>
  <c r="O37" i="2" s="1"/>
  <c r="V36" i="2"/>
  <c r="O36" i="2" s="1"/>
  <c r="U36" i="2"/>
  <c r="V35" i="2"/>
  <c r="V34" i="2"/>
  <c r="O34" i="2" s="1"/>
  <c r="U34" i="2"/>
  <c r="V33" i="2"/>
  <c r="W33" i="2" s="1"/>
  <c r="AC6" i="2"/>
  <c r="AA6" i="2"/>
  <c r="V32" i="2"/>
  <c r="O32" i="2" s="1"/>
  <c r="U32" i="2"/>
  <c r="AC5" i="2"/>
  <c r="AA5" i="2"/>
  <c r="AD5" i="2" s="1"/>
  <c r="V31" i="2"/>
  <c r="O31" i="2" s="1"/>
  <c r="AC4" i="2"/>
  <c r="AA4" i="2"/>
  <c r="V30" i="2"/>
  <c r="O30" i="2" s="1"/>
  <c r="V29" i="2"/>
  <c r="W29" i="2" s="1"/>
  <c r="V28" i="2"/>
  <c r="O28" i="2" s="1"/>
  <c r="U28" i="2"/>
  <c r="V27" i="2"/>
  <c r="O27" i="2" s="1"/>
  <c r="U27" i="2"/>
  <c r="V26" i="2"/>
  <c r="W26" i="2" s="1"/>
  <c r="O26" i="2"/>
  <c r="V25" i="2"/>
  <c r="O25" i="2" s="1"/>
  <c r="U25" i="2"/>
  <c r="V24" i="2"/>
  <c r="W24" i="2" s="1"/>
  <c r="V23" i="2"/>
  <c r="O23" i="2" s="1"/>
  <c r="U23" i="2"/>
  <c r="V22" i="2"/>
  <c r="W22" i="2" s="1"/>
  <c r="V21" i="2"/>
  <c r="O21" i="2" s="1"/>
  <c r="U21" i="2"/>
  <c r="V20" i="2"/>
  <c r="W20" i="2" s="1"/>
  <c r="O20" i="2"/>
  <c r="V19" i="2"/>
  <c r="O19" i="2" s="1"/>
  <c r="U19" i="2"/>
  <c r="V18" i="2"/>
  <c r="O18" i="2" s="1"/>
  <c r="U18" i="2"/>
  <c r="V17" i="2"/>
  <c r="O17" i="2" s="1"/>
  <c r="V16" i="2"/>
  <c r="U16" i="2"/>
  <c r="V15" i="2"/>
  <c r="O15" i="2" s="1"/>
  <c r="V14" i="2"/>
  <c r="O14" i="2" s="1"/>
  <c r="U14" i="2"/>
  <c r="V13" i="2"/>
  <c r="O13" i="2" s="1"/>
  <c r="V12" i="2"/>
  <c r="O12" i="2" s="1"/>
  <c r="U12" i="2"/>
  <c r="V11" i="2"/>
  <c r="W11" i="2" s="1"/>
  <c r="V10" i="2"/>
  <c r="O10" i="2" s="1"/>
  <c r="U10" i="2"/>
  <c r="V9" i="2"/>
  <c r="O9" i="2" s="1"/>
  <c r="V8" i="2"/>
  <c r="O8" i="2" s="1"/>
  <c r="V7" i="2"/>
  <c r="W7" i="2" s="1"/>
  <c r="V6" i="2"/>
  <c r="W6" i="2" s="1"/>
  <c r="V5" i="2"/>
  <c r="W5" i="2" s="1"/>
  <c r="O5" i="2"/>
  <c r="V4" i="2"/>
  <c r="O4" i="2" s="1"/>
  <c r="W32" i="2" l="1"/>
  <c r="W66" i="2"/>
  <c r="W71" i="2"/>
  <c r="O72" i="2"/>
  <c r="O41" i="2"/>
  <c r="W58" i="2"/>
  <c r="O7" i="2"/>
  <c r="O22" i="2"/>
  <c r="O51" i="2"/>
  <c r="W56" i="2"/>
  <c r="W43" i="2"/>
  <c r="O52" i="2"/>
  <c r="O57" i="2"/>
  <c r="O48" i="2"/>
  <c r="O44" i="2"/>
  <c r="W53" i="2"/>
  <c r="W77" i="2"/>
  <c r="W16" i="2"/>
  <c r="W45" i="2"/>
  <c r="W74" i="2"/>
  <c r="O29" i="2"/>
  <c r="W34" i="2"/>
  <c r="W37" i="2"/>
  <c r="W46" i="2"/>
  <c r="W65" i="2"/>
  <c r="W8" i="2"/>
  <c r="W60" i="2"/>
  <c r="W70" i="2"/>
  <c r="W14" i="2"/>
  <c r="W23" i="2"/>
  <c r="W28" i="2"/>
  <c r="W30" i="2"/>
  <c r="W27" i="2"/>
  <c r="W47" i="2"/>
  <c r="W62" i="2"/>
  <c r="W76" i="2"/>
  <c r="W54" i="2"/>
  <c r="W55" i="2"/>
  <c r="O16" i="2"/>
  <c r="W50" i="2"/>
  <c r="W61" i="2"/>
  <c r="W67" i="2"/>
  <c r="O6" i="2"/>
  <c r="W25" i="2"/>
  <c r="O33" i="2"/>
  <c r="W13" i="2"/>
  <c r="W17" i="2"/>
  <c r="W4" i="2"/>
  <c r="W9" i="2"/>
  <c r="O11" i="2"/>
  <c r="W12" i="2"/>
  <c r="W19" i="2"/>
  <c r="W42" i="2"/>
  <c r="W68" i="2"/>
  <c r="W69" i="2"/>
  <c r="W36" i="2"/>
  <c r="O24" i="2"/>
  <c r="W49" i="2"/>
  <c r="O60" i="2"/>
  <c r="O63" i="2"/>
  <c r="W75" i="2"/>
  <c r="W64" i="2"/>
  <c r="O38" i="2"/>
  <c r="W38" i="2"/>
  <c r="AD6" i="2"/>
  <c r="W40" i="2"/>
  <c r="O40" i="2"/>
  <c r="AD4" i="2"/>
  <c r="O39" i="2"/>
  <c r="W39" i="2"/>
  <c r="W15" i="2"/>
  <c r="W21" i="2"/>
  <c r="W10" i="2"/>
  <c r="W31" i="2"/>
  <c r="W73" i="2"/>
  <c r="O59" i="2"/>
  <c r="W59" i="2"/>
  <c r="W18" i="2"/>
  <c r="O35" i="2"/>
  <c r="W35" i="2"/>
  <c r="W78" i="2" l="1"/>
  <c r="O78" i="2"/>
  <c r="AD7" i="2"/>
  <c r="X78" i="2" l="1"/>
</calcChain>
</file>

<file path=xl/sharedStrings.xml><?xml version="1.0" encoding="utf-8"?>
<sst xmlns="http://schemas.openxmlformats.org/spreadsheetml/2006/main" count="458" uniqueCount="177">
  <si>
    <t>Cobalt</t>
  </si>
  <si>
    <t xml:space="preserve">Data from Cheng et al., 2023 </t>
  </si>
  <si>
    <t>Truck</t>
  </si>
  <si>
    <t>Rail</t>
  </si>
  <si>
    <t>Location - Truck and Rail</t>
  </si>
  <si>
    <t>Our work (Ocean)</t>
  </si>
  <si>
    <t>from</t>
  </si>
  <si>
    <t>to</t>
  </si>
  <si>
    <t>emission factor</t>
  </si>
  <si>
    <t>emission</t>
  </si>
  <si>
    <t>From</t>
  </si>
  <si>
    <t>%</t>
  </si>
  <si>
    <t>To</t>
  </si>
  <si>
    <t>Flow from</t>
  </si>
  <si>
    <t>Flow to</t>
  </si>
  <si>
    <t>Distance (km)</t>
  </si>
  <si>
    <t>Mining</t>
  </si>
  <si>
    <t>Refining</t>
  </si>
  <si>
    <t>Cathode</t>
  </si>
  <si>
    <t>Contribution</t>
  </si>
  <si>
    <t>Emission</t>
  </si>
  <si>
    <t>China</t>
  </si>
  <si>
    <t>Quzhou Huayou Cobalt New Material Co.</t>
  </si>
  <si>
    <t>Jiangsi Cobalt Nickel Metal</t>
  </si>
  <si>
    <t>Australia</t>
  </si>
  <si>
    <t>Japan</t>
  </si>
  <si>
    <t>proxy</t>
  </si>
  <si>
    <t>Tenke Fungurume Mine</t>
  </si>
  <si>
    <t>Dar es Salaam, Tanzania port</t>
  </si>
  <si>
    <t xml:space="preserve">Port of Shanghai </t>
  </si>
  <si>
    <t xml:space="preserve">Tongxiang cobalt refinary </t>
  </si>
  <si>
    <t>DRC</t>
  </si>
  <si>
    <t>South Korea</t>
  </si>
  <si>
    <t>China_China</t>
  </si>
  <si>
    <t>Tenke Fungurume Mines</t>
  </si>
  <si>
    <t>Gecamines</t>
  </si>
  <si>
    <t>China_Japan</t>
  </si>
  <si>
    <t xml:space="preserve">Murrin Murrin Mines </t>
  </si>
  <si>
    <t>Minara Resources</t>
  </si>
  <si>
    <t>Japan_Japan</t>
  </si>
  <si>
    <t xml:space="preserve">Minara Resources </t>
  </si>
  <si>
    <t>Fremantle Harbour</t>
  </si>
  <si>
    <t>Finland_China</t>
  </si>
  <si>
    <t>DRC_China</t>
  </si>
  <si>
    <t>Co mine in Olen</t>
  </si>
  <si>
    <t>Umicore Reninery</t>
  </si>
  <si>
    <t>Belgium</t>
  </si>
  <si>
    <t>India_Japan</t>
  </si>
  <si>
    <t>Unicore refinery</t>
  </si>
  <si>
    <t>port of antwerp</t>
  </si>
  <si>
    <t>SouthAfrica_China</t>
  </si>
  <si>
    <t>South Africa</t>
  </si>
  <si>
    <t>Australia_China</t>
  </si>
  <si>
    <t>Newfoundland and Labrador mine</t>
  </si>
  <si>
    <t xml:space="preserve">Electra Battery Materials refinery </t>
  </si>
  <si>
    <t>Canada</t>
  </si>
  <si>
    <t xml:space="preserve">Port of Toronto </t>
  </si>
  <si>
    <t>China_SK</t>
  </si>
  <si>
    <t>Belgium_China</t>
  </si>
  <si>
    <t>Talvivaara mines</t>
  </si>
  <si>
    <t>Freeport Cobalt refinery</t>
  </si>
  <si>
    <t>Finland</t>
  </si>
  <si>
    <t>Japan_SK</t>
  </si>
  <si>
    <t>Port of Haukipudas</t>
  </si>
  <si>
    <t>Freeport Cobalt Refinery</t>
  </si>
  <si>
    <t>Norway_Japan</t>
  </si>
  <si>
    <t>Canada_China</t>
  </si>
  <si>
    <t>refinery at mining site</t>
  </si>
  <si>
    <t>Madagascar</t>
  </si>
  <si>
    <t>Finland_Japan</t>
  </si>
  <si>
    <t>Norway</t>
  </si>
  <si>
    <t>India_SK</t>
  </si>
  <si>
    <t>Tamatave port</t>
  </si>
  <si>
    <t>Ambatovy refinery</t>
  </si>
  <si>
    <t>China_China_China</t>
  </si>
  <si>
    <t xml:space="preserve">Bou Azzer Mine </t>
  </si>
  <si>
    <t>Tangier port</t>
  </si>
  <si>
    <t>Morocco</t>
  </si>
  <si>
    <t>SouthAfrica_Japan</t>
  </si>
  <si>
    <t>Madagascar_China</t>
  </si>
  <si>
    <t>Bou Azzer Mine</t>
  </si>
  <si>
    <t>Morocco_China</t>
  </si>
  <si>
    <t>Nkomati mine</t>
  </si>
  <si>
    <t>Anglo Platinum Refinery</t>
  </si>
  <si>
    <t>Norway_SK</t>
  </si>
  <si>
    <t>port of durban</t>
  </si>
  <si>
    <t>Finland_SK</t>
  </si>
  <si>
    <t>Zambia</t>
  </si>
  <si>
    <t xml:space="preserve">Chambishi refinery </t>
  </si>
  <si>
    <t xml:space="preserve">Port of Durban in SA </t>
  </si>
  <si>
    <t>SouthAfrica_SK</t>
  </si>
  <si>
    <t>Zambia_China</t>
  </si>
  <si>
    <t>Cathode to USA for assembly</t>
  </si>
  <si>
    <t>land (km)</t>
  </si>
  <si>
    <t>sea (km)</t>
  </si>
  <si>
    <t>Total</t>
  </si>
  <si>
    <t>Chn_USA</t>
  </si>
  <si>
    <t>Australia_Japan</t>
  </si>
  <si>
    <t>Murrin Murrin Mines</t>
  </si>
  <si>
    <t> Minara Resources</t>
  </si>
  <si>
    <t>Jpn_USA</t>
  </si>
  <si>
    <t>SK_USA</t>
  </si>
  <si>
    <t>China_China_Japan</t>
  </si>
  <si>
    <t>Belgium_Japan</t>
  </si>
  <si>
    <t>Unicore refinery </t>
  </si>
  <si>
    <t>Canada_Japan</t>
  </si>
  <si>
    <t>Electra Battery Materials refinery </t>
  </si>
  <si>
    <t>truck transportation (kg co2/t-km)</t>
  </si>
  <si>
    <t>Odisha</t>
  </si>
  <si>
    <t>India</t>
  </si>
  <si>
    <t>Port of Toronto</t>
  </si>
  <si>
    <t>rail transportation (kg co2/t-km)</t>
  </si>
  <si>
    <t>ton Cathode material  in 1 kg of NMC811</t>
  </si>
  <si>
    <t>Container ship emission (kg CO2/t-km)</t>
  </si>
  <si>
    <t>China_China_SK</t>
  </si>
  <si>
    <t>refinery in Gujrat</t>
  </si>
  <si>
    <t>Haldia port in West Bengal</t>
  </si>
  <si>
    <t>Madagascar_Japan</t>
  </si>
  <si>
    <t xml:space="preserve">Tamatave port </t>
  </si>
  <si>
    <t>Morocco_Japan</t>
  </si>
  <si>
    <t>Blaafarveværket mine</t>
  </si>
  <si>
    <t>Nikkelverk refinery</t>
  </si>
  <si>
    <t>port of olso</t>
  </si>
  <si>
    <t>Zambia_Japan</t>
  </si>
  <si>
    <t xml:space="preserve">port of durban </t>
  </si>
  <si>
    <t>Norway_Norway_Japan</t>
  </si>
  <si>
    <t>DRC_SK</t>
  </si>
  <si>
    <t>Australia_SK</t>
  </si>
  <si>
    <t>Belgium_SK</t>
  </si>
  <si>
    <t>Canada_SK</t>
  </si>
  <si>
    <t xml:space="preserve">Co mine in Olen </t>
  </si>
  <si>
    <t xml:space="preserve">Unicore refinery </t>
  </si>
  <si>
    <t xml:space="preserve">Newfoundland and Labrador mine </t>
  </si>
  <si>
    <t xml:space="preserve"> Electra Battery Materials refinery</t>
  </si>
  <si>
    <t>Norway_Norway_SK</t>
  </si>
  <si>
    <t>Morocco_SK</t>
  </si>
  <si>
    <t>India_India_Japan</t>
  </si>
  <si>
    <t xml:space="preserve">Tenke Fungurume Mine </t>
  </si>
  <si>
    <t>Zambia_SK</t>
  </si>
  <si>
    <t>DRC_China_China</t>
  </si>
  <si>
    <t xml:space="preserve"> Anglo Pltinun refinery</t>
  </si>
  <si>
    <t>DRC_DRC_China</t>
  </si>
  <si>
    <t>Australia_Australia_China</t>
  </si>
  <si>
    <t>Belgium_Belgium_China</t>
  </si>
  <si>
    <t>Canada_Canada_China</t>
  </si>
  <si>
    <t>Finland_Finland_China</t>
  </si>
  <si>
    <t>Madagascar_Madagascar_China</t>
  </si>
  <si>
    <t>DRC_Morocco_China</t>
  </si>
  <si>
    <t>Morocco_Morocco_China</t>
  </si>
  <si>
    <t>SouthAfrica_SouthAfrica_China</t>
  </si>
  <si>
    <t>Zambia_Zambia_China</t>
  </si>
  <si>
    <t>DRC_China_Japan</t>
  </si>
  <si>
    <t>Japan_Japan_Japan</t>
  </si>
  <si>
    <t>Australia_Australia_Japan</t>
  </si>
  <si>
    <t>Belgium_Belgium_Japan</t>
  </si>
  <si>
    <t>Canada_Canada_Japan</t>
  </si>
  <si>
    <t>Finland_Finland_Japan</t>
  </si>
  <si>
    <t>ton Co in Battery (for 1kg of NMC 811)</t>
  </si>
  <si>
    <t>Madgascar_Madagascar_Japan</t>
  </si>
  <si>
    <t>DRC_Morocco_Japan</t>
  </si>
  <si>
    <t>India_India_SK</t>
  </si>
  <si>
    <t>Morocco_Morocco_Japan</t>
  </si>
  <si>
    <t>SouthAfrica_SouthAfrica_Japan</t>
  </si>
  <si>
    <t>Zambia_Zambia_Japan</t>
  </si>
  <si>
    <t>DRC_China_SK</t>
  </si>
  <si>
    <t>Japan_Japan_SK</t>
  </si>
  <si>
    <t>DRC_DRC_SK</t>
  </si>
  <si>
    <t>Australia_Australia_SK</t>
  </si>
  <si>
    <t>Belgium_Belgium_SK</t>
  </si>
  <si>
    <t>Canada_Canada_SK</t>
  </si>
  <si>
    <t>Finland_Finland_SK</t>
  </si>
  <si>
    <t>DRC_Morocco_SK</t>
  </si>
  <si>
    <t>Morocco_Morocco_SK</t>
  </si>
  <si>
    <t>SouthAfrica_SouthAfrica_SK</t>
  </si>
  <si>
    <t>Zambia_Zambia_SK</t>
  </si>
  <si>
    <t>Trade Value 1000USD</t>
  </si>
  <si>
    <t>Quantity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</si>
</sst>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000"/>
    <numFmt numFmtId="168" formatCode="0.0000"/>
    <numFmt numFmtId="169" formatCode="0.00000E+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1" fontId="3" fillId="0" borderId="0" xfId="0" applyNumberFormat="1" applyFont="1"/>
    <xf numFmtId="10" fontId="3" fillId="0" borderId="0" xfId="1" applyNumberFormat="1" applyFont="1" applyFill="1"/>
    <xf numFmtId="167" fontId="3" fillId="0" borderId="0" xfId="0" applyNumberFormat="1" applyFont="1"/>
    <xf numFmtId="168" fontId="3" fillId="0" borderId="0" xfId="0" applyNumberFormat="1" applyFont="1"/>
    <xf numFmtId="0" fontId="4" fillId="0" borderId="0" xfId="0" applyFont="1" applyAlignment="1">
      <alignment horizontal="left"/>
    </xf>
    <xf numFmtId="169" fontId="3" fillId="0" borderId="0" xfId="0" applyNumberFormat="1" applyFont="1"/>
    <xf numFmtId="0" fontId="6" fillId="0" borderId="0" xfId="0" applyFont="1"/>
    <xf numFmtId="0" fontId="3" fillId="0" borderId="1" xfId="1" applyNumberFormat="1" applyFont="1" applyFill="1" applyBorder="1"/>
    <xf numFmtId="0" fontId="5" fillId="0" borderId="1" xfId="2" applyFont="1" applyFill="1" applyBorder="1"/>
    <xf numFmtId="167" fontId="6" fillId="0" borderId="0" xfId="0" applyNumberFormat="1" applyFont="1"/>
    <xf numFmtId="0" fontId="3" fillId="0" borderId="0" xfId="1" applyNumberFormat="1" applyFont="1" applyFill="1"/>
    <xf numFmtId="0" fontId="3" fillId="0" borderId="0" xfId="1" applyNumberFormat="1" applyFont="1" applyFill="1" applyBorder="1"/>
    <xf numFmtId="0" fontId="4" fillId="0" borderId="1" xfId="0" applyFont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3" fillId="0" borderId="0" xfId="0" applyFont="1" applyBorder="1"/>
    <xf numFmtId="0" fontId="5" fillId="0" borderId="0" xfId="2" applyFont="1"/>
    <xf numFmtId="0" fontId="7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8" fillId="0" borderId="0" xfId="0" applyFont="1"/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dico.atenanazionale.org/event/0/papers/146/files/226-paper_45.pdf" TargetMode="External"/><Relationship Id="rId1" Type="http://schemas.openxmlformats.org/officeDocument/2006/relationships/hyperlink" Target="https://www.nature.com/articles/s41467-024-4641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1941-7C6F-6A4A-98ED-D6B573D0D471}">
  <dimension ref="A1:AO114"/>
  <sheetViews>
    <sheetView tabSelected="1" zoomScale="75" zoomScaleNormal="120" workbookViewId="0">
      <selection activeCell="AC14" sqref="AC14"/>
    </sheetView>
  </sheetViews>
  <sheetFormatPr baseColWidth="10" defaultColWidth="10.83203125" defaultRowHeight="16" x14ac:dyDescent="0.2"/>
  <cols>
    <col min="1" max="1" width="28.6640625" style="31" customWidth="1"/>
    <col min="2" max="5" width="10.83203125" style="1"/>
    <col min="6" max="6" width="8.83203125" style="1" customWidth="1"/>
    <col min="7" max="7" width="8.5" style="1" customWidth="1"/>
    <col min="8" max="8" width="8.1640625" style="1" customWidth="1"/>
    <col min="9" max="9" width="7.83203125" style="1" customWidth="1"/>
    <col min="10" max="10" width="21.33203125" style="1" customWidth="1"/>
    <col min="11" max="11" width="28.83203125" style="1" customWidth="1"/>
    <col min="12" max="12" width="35.6640625" style="1" customWidth="1"/>
    <col min="13" max="13" width="29.33203125" style="1" customWidth="1"/>
    <col min="14" max="14" width="14.5" style="1" customWidth="1"/>
    <col min="15" max="15" width="12.5" style="1" bestFit="1" customWidth="1"/>
    <col min="16" max="16" width="34.83203125" style="1" customWidth="1"/>
    <col min="17" max="17" width="11.1640625" style="1" bestFit="1" customWidth="1"/>
    <col min="18" max="18" width="16.1640625" style="1" customWidth="1"/>
    <col min="19" max="19" width="9.6640625" style="1" customWidth="1"/>
    <col min="20" max="20" width="7.1640625" style="1" customWidth="1"/>
    <col min="21" max="21" width="13.5" style="1" customWidth="1"/>
    <col min="22" max="22" width="13.83203125" style="1" customWidth="1"/>
    <col min="23" max="23" width="12.5" style="1" customWidth="1"/>
    <col min="24" max="24" width="12.33203125" style="1" customWidth="1"/>
    <col min="25" max="25" width="36.33203125" style="1" customWidth="1"/>
    <col min="26" max="26" width="9.5" style="1" customWidth="1"/>
    <col min="27" max="27" width="10.83203125" style="1"/>
    <col min="28" max="28" width="11.6640625" style="1" customWidth="1"/>
    <col min="29" max="29" width="10.83203125" style="1"/>
    <col min="30" max="30" width="12.1640625" style="1" customWidth="1"/>
    <col min="31" max="31" width="20.33203125" style="1" customWidth="1"/>
    <col min="32" max="32" width="12.83203125" style="1" customWidth="1"/>
    <col min="33" max="16384" width="10.83203125" style="1"/>
  </cols>
  <sheetData>
    <row r="1" spans="1:4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41" x14ac:dyDescent="0.2">
      <c r="A2" s="23" t="s">
        <v>1</v>
      </c>
      <c r="B2" s="23"/>
      <c r="C2" s="23"/>
      <c r="D2" s="23"/>
      <c r="F2" s="20" t="s">
        <v>2</v>
      </c>
      <c r="G2" s="21"/>
      <c r="H2" s="20" t="s">
        <v>3</v>
      </c>
      <c r="I2" s="21"/>
      <c r="J2" s="20" t="s">
        <v>4</v>
      </c>
      <c r="K2" s="22"/>
      <c r="L2" s="22"/>
      <c r="M2" s="21"/>
      <c r="N2" s="3"/>
      <c r="O2" s="3"/>
      <c r="P2" s="19" t="s">
        <v>5</v>
      </c>
      <c r="Q2" s="19"/>
      <c r="R2" s="19"/>
      <c r="S2" s="19"/>
      <c r="T2" s="19"/>
      <c r="U2" s="19"/>
      <c r="V2" s="19"/>
      <c r="W2" s="19"/>
      <c r="AN2" s="26"/>
    </row>
    <row r="3" spans="1:41" x14ac:dyDescent="0.2">
      <c r="A3" s="30"/>
      <c r="B3" s="5" t="s">
        <v>16</v>
      </c>
      <c r="C3" s="5" t="s">
        <v>17</v>
      </c>
      <c r="D3" s="5" t="s">
        <v>18</v>
      </c>
      <c r="F3" s="4" t="s">
        <v>6</v>
      </c>
      <c r="G3" s="4" t="s">
        <v>7</v>
      </c>
      <c r="H3" s="4" t="s">
        <v>6</v>
      </c>
      <c r="I3" s="4" t="s">
        <v>7</v>
      </c>
      <c r="J3" s="4" t="s">
        <v>6</v>
      </c>
      <c r="K3" s="4"/>
      <c r="L3" s="4" t="s">
        <v>7</v>
      </c>
      <c r="M3" s="4"/>
      <c r="N3" s="4" t="s">
        <v>8</v>
      </c>
      <c r="O3" s="4" t="s">
        <v>9</v>
      </c>
      <c r="P3" s="5" t="s">
        <v>10</v>
      </c>
      <c r="Q3" s="2" t="s">
        <v>11</v>
      </c>
      <c r="R3" s="5" t="s">
        <v>12</v>
      </c>
      <c r="S3" s="5" t="s">
        <v>13</v>
      </c>
      <c r="T3" s="5" t="s">
        <v>14</v>
      </c>
      <c r="U3" s="4" t="s">
        <v>15</v>
      </c>
      <c r="V3" s="4" t="s">
        <v>19</v>
      </c>
      <c r="W3" s="4" t="s">
        <v>20</v>
      </c>
      <c r="Y3" s="1" t="s">
        <v>92</v>
      </c>
      <c r="Z3" s="12" t="s">
        <v>93</v>
      </c>
      <c r="AA3" s="1" t="s">
        <v>9</v>
      </c>
      <c r="AB3" s="1" t="s">
        <v>94</v>
      </c>
      <c r="AC3" s="1" t="s">
        <v>9</v>
      </c>
      <c r="AD3" s="1" t="s">
        <v>95</v>
      </c>
      <c r="AE3" s="29" t="s">
        <v>175</v>
      </c>
      <c r="AF3" s="1" t="s">
        <v>176</v>
      </c>
      <c r="AM3" s="25"/>
      <c r="AN3" s="27"/>
      <c r="AO3" s="28"/>
    </row>
    <row r="4" spans="1:41" x14ac:dyDescent="0.2">
      <c r="A4" s="31" t="s">
        <v>21</v>
      </c>
      <c r="B4" s="1">
        <v>0</v>
      </c>
      <c r="C4" s="1">
        <v>0</v>
      </c>
      <c r="D4" s="1">
        <v>11035.98531</v>
      </c>
      <c r="G4" s="1">
        <v>546</v>
      </c>
      <c r="L4" s="1" t="s">
        <v>22</v>
      </c>
      <c r="M4" s="1" t="s">
        <v>23</v>
      </c>
      <c r="N4" s="1">
        <v>0.154</v>
      </c>
      <c r="O4" s="9">
        <f>SUM(F4+G4)*N4*V4</f>
        <v>3.6124537982724007E-3</v>
      </c>
      <c r="P4" s="1" t="s">
        <v>21</v>
      </c>
      <c r="Q4" s="10">
        <v>3.356440618786348</v>
      </c>
      <c r="R4" s="11" t="s">
        <v>21</v>
      </c>
      <c r="S4" s="1">
        <v>0</v>
      </c>
      <c r="T4" s="1">
        <v>1</v>
      </c>
      <c r="V4" s="1">
        <f>$Q$81*Q4</f>
        <v>4.2962439920465256E-5</v>
      </c>
      <c r="W4" s="1">
        <f>U4*V4*$Q$82</f>
        <v>0</v>
      </c>
      <c r="Y4" s="1" t="s">
        <v>96</v>
      </c>
      <c r="Z4" s="1">
        <v>200</v>
      </c>
      <c r="AA4" s="1">
        <f>Z4*$Z$9*$Z$11</f>
        <v>1.1455199999999999E-2</v>
      </c>
      <c r="AB4" s="1">
        <v>20000</v>
      </c>
      <c r="AC4" s="1">
        <f>AB4*0.0105*$Z$11</f>
        <v>7.7700000000000005E-2</v>
      </c>
      <c r="AD4" s="1">
        <f>AA4+AC4</f>
        <v>8.9155200000000004E-2</v>
      </c>
      <c r="AE4" s="27">
        <v>3058.95</v>
      </c>
      <c r="AF4" s="28">
        <v>95506</v>
      </c>
      <c r="AM4" s="25"/>
      <c r="AN4" s="27"/>
      <c r="AO4" s="28"/>
    </row>
    <row r="5" spans="1:41" x14ac:dyDescent="0.2">
      <c r="A5" s="31" t="s">
        <v>25</v>
      </c>
      <c r="B5" s="1">
        <v>0</v>
      </c>
      <c r="C5" s="1">
        <v>0</v>
      </c>
      <c r="D5" s="1">
        <v>3164.0786109999999</v>
      </c>
      <c r="F5" s="1">
        <v>2030</v>
      </c>
      <c r="G5" s="1">
        <v>200</v>
      </c>
      <c r="J5" s="1" t="s">
        <v>27</v>
      </c>
      <c r="K5" s="1" t="s">
        <v>28</v>
      </c>
      <c r="L5" s="1" t="s">
        <v>29</v>
      </c>
      <c r="M5" s="1" t="s">
        <v>30</v>
      </c>
      <c r="N5" s="1">
        <v>0.154</v>
      </c>
      <c r="O5" s="9">
        <f t="shared" ref="O5:O12" si="0">SUM(F5+G5)*N5*V5</f>
        <v>5.4825980701651664E-2</v>
      </c>
      <c r="P5" s="11" t="s">
        <v>31</v>
      </c>
      <c r="Q5" s="10">
        <v>12.472423686205046</v>
      </c>
      <c r="R5" s="11" t="s">
        <v>21</v>
      </c>
      <c r="S5" s="1">
        <v>0</v>
      </c>
      <c r="T5" s="1">
        <v>1</v>
      </c>
      <c r="U5" s="1">
        <v>12971</v>
      </c>
      <c r="V5" s="1">
        <f>$Q$81*Q5</f>
        <v>1.5964702318342457E-4</v>
      </c>
      <c r="W5" s="1">
        <f>U5*V5*$Q$82</f>
        <v>2.1743206145978099E-2</v>
      </c>
      <c r="Y5" s="1" t="s">
        <v>100</v>
      </c>
      <c r="Z5" s="1">
        <v>260</v>
      </c>
      <c r="AA5" s="1">
        <f>Z5*$Z$9*$Z$11</f>
        <v>1.4891759999999999E-2</v>
      </c>
      <c r="AB5" s="1">
        <v>18000</v>
      </c>
      <c r="AC5" s="1">
        <f t="shared" ref="AC5:AC6" si="1">AB5*0.0105*$Z$11</f>
        <v>6.9929999999999992E-2</v>
      </c>
      <c r="AD5" s="1">
        <f>AA5+AC5</f>
        <v>8.4821759999999996E-2</v>
      </c>
      <c r="AE5" s="27">
        <v>3004.63</v>
      </c>
      <c r="AF5" s="28">
        <v>53354</v>
      </c>
      <c r="AM5" s="25"/>
    </row>
    <row r="6" spans="1:41" x14ac:dyDescent="0.2">
      <c r="G6" s="1">
        <v>546</v>
      </c>
      <c r="L6" s="1" t="s">
        <v>22</v>
      </c>
      <c r="M6" s="1" t="s">
        <v>23</v>
      </c>
      <c r="N6" s="1">
        <v>0.154</v>
      </c>
      <c r="O6" s="9">
        <f t="shared" si="0"/>
        <v>1.7036214095627476E-2</v>
      </c>
      <c r="P6" s="11" t="s">
        <v>21</v>
      </c>
      <c r="Q6" s="10">
        <v>15.828864304991397</v>
      </c>
      <c r="R6" s="11" t="s">
        <v>21</v>
      </c>
      <c r="S6" s="1">
        <v>1</v>
      </c>
      <c r="T6" s="1">
        <v>2</v>
      </c>
      <c r="V6" s="1">
        <f>$Q$81*Q6</f>
        <v>2.0260946310388987E-4</v>
      </c>
      <c r="W6" s="1">
        <f>U6*V6*$Q$82</f>
        <v>0</v>
      </c>
      <c r="Y6" s="1" t="s">
        <v>101</v>
      </c>
      <c r="Z6" s="1">
        <v>400</v>
      </c>
      <c r="AA6" s="1">
        <f>Z6*$Z$9*$Z$11</f>
        <v>2.2910399999999997E-2</v>
      </c>
      <c r="AB6" s="1">
        <v>19000</v>
      </c>
      <c r="AC6" s="1">
        <f t="shared" si="1"/>
        <v>7.3815000000000006E-2</v>
      </c>
      <c r="AD6" s="1">
        <f>AA6+AC6</f>
        <v>9.6725400000000003E-2</v>
      </c>
      <c r="AE6" s="1">
        <v>84.65</v>
      </c>
      <c r="AF6" s="1">
        <v>931</v>
      </c>
    </row>
    <row r="7" spans="1:41" x14ac:dyDescent="0.2">
      <c r="A7" s="31" t="s">
        <v>32</v>
      </c>
      <c r="B7" s="1">
        <v>0</v>
      </c>
      <c r="C7" s="1">
        <v>0</v>
      </c>
      <c r="D7" s="1">
        <v>5273.4643509999996</v>
      </c>
      <c r="G7" s="1">
        <v>220</v>
      </c>
      <c r="L7" s="1" t="s">
        <v>34</v>
      </c>
      <c r="M7" s="1" t="s">
        <v>35</v>
      </c>
      <c r="N7" s="1">
        <v>0.154</v>
      </c>
      <c r="O7" s="9">
        <f t="shared" si="0"/>
        <v>1.739321475840459E-2</v>
      </c>
      <c r="P7" s="1" t="s">
        <v>31</v>
      </c>
      <c r="Q7" s="10">
        <v>40.107582733186504</v>
      </c>
      <c r="R7" s="1" t="s">
        <v>31</v>
      </c>
      <c r="S7" s="1">
        <v>0</v>
      </c>
      <c r="T7" s="1">
        <v>1</v>
      </c>
      <c r="V7" s="1">
        <f>$Q$81*Q7</f>
        <v>5.1337705898478719E-4</v>
      </c>
      <c r="W7" s="1">
        <f>U7*V7*$Q$82</f>
        <v>0</v>
      </c>
      <c r="Y7" s="1" t="s">
        <v>95</v>
      </c>
      <c r="AD7" s="13">
        <f>SUM(AD4:AD6)</f>
        <v>0.27070236000000003</v>
      </c>
    </row>
    <row r="8" spans="1:41" x14ac:dyDescent="0.2">
      <c r="F8" s="1">
        <v>2030</v>
      </c>
      <c r="G8" s="1">
        <v>200</v>
      </c>
      <c r="J8" s="1" t="s">
        <v>27</v>
      </c>
      <c r="K8" s="1" t="s">
        <v>28</v>
      </c>
      <c r="L8" s="1" t="s">
        <v>29</v>
      </c>
      <c r="M8" s="1" t="s">
        <v>30</v>
      </c>
      <c r="N8" s="1">
        <v>0.154</v>
      </c>
      <c r="O8" s="9">
        <f t="shared" si="0"/>
        <v>0.17630394959655563</v>
      </c>
      <c r="P8" s="1" t="s">
        <v>31</v>
      </c>
      <c r="Q8" s="10">
        <v>40.107582733186504</v>
      </c>
      <c r="R8" s="11" t="s">
        <v>21</v>
      </c>
      <c r="S8" s="1">
        <v>1</v>
      </c>
      <c r="T8" s="1">
        <v>2</v>
      </c>
      <c r="U8" s="1">
        <v>12971</v>
      </c>
      <c r="V8" s="1">
        <f>$Q$81*Q8</f>
        <v>5.1337705898478719E-4</v>
      </c>
      <c r="W8" s="1">
        <f>U8*V8*$Q$82</f>
        <v>6.9919645236962591E-2</v>
      </c>
    </row>
    <row r="9" spans="1:41" x14ac:dyDescent="0.2">
      <c r="A9" s="31" t="s">
        <v>33</v>
      </c>
      <c r="B9" s="1">
        <v>0</v>
      </c>
      <c r="C9" s="1">
        <v>3073.8840064695701</v>
      </c>
      <c r="D9" s="1">
        <v>0</v>
      </c>
      <c r="G9" s="1">
        <v>880</v>
      </c>
      <c r="L9" s="1" t="s">
        <v>37</v>
      </c>
      <c r="M9" s="1" t="s">
        <v>38</v>
      </c>
      <c r="N9" s="1">
        <v>0.154</v>
      </c>
      <c r="O9" s="9">
        <f t="shared" si="0"/>
        <v>4.3552197928494498E-4</v>
      </c>
      <c r="P9" s="1" t="s">
        <v>24</v>
      </c>
      <c r="Q9" s="10">
        <v>0.25107109379896936</v>
      </c>
      <c r="R9" s="1" t="s">
        <v>24</v>
      </c>
      <c r="S9" s="1">
        <v>0</v>
      </c>
      <c r="T9" s="1">
        <v>1</v>
      </c>
      <c r="V9" s="1">
        <f>$Q$81*Q9</f>
        <v>3.2137100006268074E-6</v>
      </c>
      <c r="W9" s="1">
        <f>U9*V9*$Q$82</f>
        <v>0</v>
      </c>
      <c r="Y9" s="1" t="s">
        <v>107</v>
      </c>
      <c r="Z9" s="1">
        <v>0.15479999999999999</v>
      </c>
      <c r="AB9" s="8"/>
      <c r="AC9" s="8"/>
    </row>
    <row r="10" spans="1:41" x14ac:dyDescent="0.2">
      <c r="F10" s="1">
        <v>20</v>
      </c>
      <c r="G10" s="1">
        <v>200</v>
      </c>
      <c r="J10" s="1" t="s">
        <v>40</v>
      </c>
      <c r="K10" s="1" t="s">
        <v>41</v>
      </c>
      <c r="L10" s="1" t="s">
        <v>29</v>
      </c>
      <c r="M10" s="1" t="s">
        <v>30</v>
      </c>
      <c r="N10" s="1">
        <v>0.154</v>
      </c>
      <c r="O10" s="9">
        <f t="shared" si="0"/>
        <v>1.0888049482123625E-4</v>
      </c>
      <c r="P10" s="1" t="s">
        <v>24</v>
      </c>
      <c r="Q10" s="10">
        <v>0.25107109379896936</v>
      </c>
      <c r="R10" s="11" t="s">
        <v>21</v>
      </c>
      <c r="S10" s="1">
        <v>1</v>
      </c>
      <c r="T10" s="1">
        <v>2</v>
      </c>
      <c r="U10" s="1">
        <f>4037*1.852</f>
        <v>7476.5240000000003</v>
      </c>
      <c r="V10" s="1">
        <f>$Q$81*Q10</f>
        <v>3.2137100006268074E-6</v>
      </c>
      <c r="W10" s="1">
        <f>U10*V10*$Q$82</f>
        <v>2.5228748946162663E-4</v>
      </c>
      <c r="Y10" s="1" t="s">
        <v>111</v>
      </c>
      <c r="Z10" s="1">
        <v>6.1800000000000001E-2</v>
      </c>
      <c r="AB10" s="8"/>
      <c r="AC10" s="8"/>
    </row>
    <row r="11" spans="1:41" x14ac:dyDescent="0.2">
      <c r="A11" s="31" t="s">
        <v>43</v>
      </c>
      <c r="B11" s="1">
        <v>0</v>
      </c>
      <c r="C11" s="1">
        <v>7788.6862080699411</v>
      </c>
      <c r="D11" s="1">
        <v>0</v>
      </c>
      <c r="G11" s="1">
        <v>71</v>
      </c>
      <c r="L11" s="1" t="s">
        <v>44</v>
      </c>
      <c r="M11" s="1" t="s">
        <v>45</v>
      </c>
      <c r="N11" s="1">
        <v>0.154</v>
      </c>
      <c r="O11" s="9">
        <f t="shared" si="0"/>
        <v>1.8858536478252381E-6</v>
      </c>
      <c r="P11" s="1" t="s">
        <v>46</v>
      </c>
      <c r="Q11" s="10">
        <v>1.347469510118408E-2</v>
      </c>
      <c r="R11" s="1" t="s">
        <v>46</v>
      </c>
      <c r="S11" s="1">
        <v>0</v>
      </c>
      <c r="T11" s="1">
        <v>1</v>
      </c>
      <c r="V11" s="1">
        <f>$Q$81*Q11</f>
        <v>1.7247609729515622E-7</v>
      </c>
      <c r="W11" s="1">
        <f>U11*V11*$Q$82</f>
        <v>0</v>
      </c>
      <c r="Y11" s="1" t="s">
        <v>112</v>
      </c>
      <c r="Z11" s="1">
        <v>3.6999999999999999E-4</v>
      </c>
      <c r="AB11" s="8"/>
      <c r="AC11" s="8"/>
    </row>
    <row r="12" spans="1:41" x14ac:dyDescent="0.2">
      <c r="F12" s="1">
        <v>52</v>
      </c>
      <c r="G12" s="1">
        <v>200</v>
      </c>
      <c r="J12" s="1" t="s">
        <v>48</v>
      </c>
      <c r="K12" s="1" t="s">
        <v>49</v>
      </c>
      <c r="L12" s="1" t="s">
        <v>29</v>
      </c>
      <c r="M12" s="1" t="s">
        <v>30</v>
      </c>
      <c r="N12" s="1">
        <v>0.154</v>
      </c>
      <c r="O12" s="9">
        <f t="shared" si="0"/>
        <v>6.6934523838304228E-6</v>
      </c>
      <c r="P12" s="1" t="s">
        <v>46</v>
      </c>
      <c r="Q12" s="10">
        <v>1.347469510118408E-2</v>
      </c>
      <c r="R12" s="11" t="s">
        <v>21</v>
      </c>
      <c r="S12" s="1">
        <v>1</v>
      </c>
      <c r="T12" s="1">
        <v>2</v>
      </c>
      <c r="U12" s="1">
        <f>10530*1.852</f>
        <v>19501.560000000001</v>
      </c>
      <c r="V12" s="1">
        <f>$Q$81*Q12</f>
        <v>1.7247609729515622E-7</v>
      </c>
      <c r="W12" s="1">
        <f>U12*V12*$Q$82</f>
        <v>3.5317306079656935E-5</v>
      </c>
      <c r="AB12" s="8"/>
      <c r="AC12" s="8"/>
    </row>
    <row r="13" spans="1:41" x14ac:dyDescent="0.2">
      <c r="A13" s="31" t="s">
        <v>52</v>
      </c>
      <c r="B13" s="1">
        <v>0</v>
      </c>
      <c r="C13" s="1">
        <v>48.756714622419821</v>
      </c>
      <c r="D13" s="1">
        <v>0</v>
      </c>
      <c r="I13" s="1">
        <v>500</v>
      </c>
      <c r="L13" s="1" t="s">
        <v>53</v>
      </c>
      <c r="M13" s="1" t="s">
        <v>54</v>
      </c>
      <c r="N13" s="1">
        <v>6.1499999999999999E-2</v>
      </c>
      <c r="O13" s="9">
        <f>SUM(H13:I13)*N13*V13</f>
        <v>8.7971639454862191E-5</v>
      </c>
      <c r="P13" s="1" t="s">
        <v>55</v>
      </c>
      <c r="Q13" s="10">
        <v>0.22350518154182469</v>
      </c>
      <c r="R13" s="1" t="s">
        <v>55</v>
      </c>
      <c r="S13" s="1">
        <v>0</v>
      </c>
      <c r="T13" s="1">
        <v>1</v>
      </c>
      <c r="V13" s="1">
        <f>$Q$81*Q13</f>
        <v>2.8608663237353558E-6</v>
      </c>
      <c r="W13" s="1">
        <f>U13*V13*$Q$82</f>
        <v>0</v>
      </c>
      <c r="AB13" s="8"/>
      <c r="AC13" s="8"/>
    </row>
    <row r="14" spans="1:41" x14ac:dyDescent="0.2">
      <c r="G14" s="1">
        <v>200</v>
      </c>
      <c r="H14" s="1">
        <v>505</v>
      </c>
      <c r="J14" s="1" t="s">
        <v>56</v>
      </c>
      <c r="K14" s="1" t="s">
        <v>54</v>
      </c>
      <c r="L14" s="1" t="s">
        <v>29</v>
      </c>
      <c r="M14" s="1" t="s">
        <v>30</v>
      </c>
      <c r="N14" s="1">
        <v>6.1499999999999999E-2</v>
      </c>
      <c r="O14" s="9">
        <f>((H14*N14)+(G14*N12))*V14</f>
        <v>1.7696603862045978E-4</v>
      </c>
      <c r="P14" s="1" t="s">
        <v>55</v>
      </c>
      <c r="Q14" s="10">
        <v>0.22350518154182469</v>
      </c>
      <c r="R14" s="11" t="s">
        <v>21</v>
      </c>
      <c r="S14" s="1">
        <v>1</v>
      </c>
      <c r="T14" s="1">
        <v>2</v>
      </c>
      <c r="U14" s="1">
        <f>12091*1.852</f>
        <v>22392.532000000003</v>
      </c>
      <c r="V14" s="1">
        <f>$Q$81*Q14</f>
        <v>2.8608663237353558E-6</v>
      </c>
      <c r="W14" s="1">
        <f>U14*V14*$Q$82</f>
        <v>6.7265142737064638E-4</v>
      </c>
      <c r="AB14" s="8"/>
      <c r="AC14" s="8"/>
    </row>
    <row r="15" spans="1:41" x14ac:dyDescent="0.2">
      <c r="A15" s="31" t="s">
        <v>58</v>
      </c>
      <c r="B15" s="1">
        <v>0</v>
      </c>
      <c r="C15" s="1">
        <v>2.6167164595960646</v>
      </c>
      <c r="D15" s="1">
        <v>0</v>
      </c>
      <c r="G15" s="1">
        <v>300</v>
      </c>
      <c r="L15" s="1" t="s">
        <v>59</v>
      </c>
      <c r="M15" s="1" t="s">
        <v>60</v>
      </c>
      <c r="N15" s="1">
        <v>0.154</v>
      </c>
      <c r="O15" s="9">
        <f>SUM(F15:G15)*N15*V15</f>
        <v>6.8026075302114508E-5</v>
      </c>
      <c r="P15" s="1" t="s">
        <v>61</v>
      </c>
      <c r="Q15" s="10">
        <v>0.11503327127657351</v>
      </c>
      <c r="R15" s="1" t="s">
        <v>61</v>
      </c>
      <c r="S15" s="1">
        <v>0</v>
      </c>
      <c r="T15" s="1">
        <v>1</v>
      </c>
      <c r="V15" s="1">
        <f>$Q$81*Q15</f>
        <v>1.4724258723401408E-6</v>
      </c>
      <c r="W15" s="1">
        <f>U15*V15*$Q$82</f>
        <v>0</v>
      </c>
      <c r="AB15" s="8"/>
      <c r="AC15" s="8"/>
    </row>
    <row r="16" spans="1:41" x14ac:dyDescent="0.2">
      <c r="F16" s="1">
        <v>227</v>
      </c>
      <c r="G16" s="1">
        <v>200</v>
      </c>
      <c r="J16" s="1" t="s">
        <v>63</v>
      </c>
      <c r="K16" s="1" t="s">
        <v>64</v>
      </c>
      <c r="L16" s="1" t="s">
        <v>29</v>
      </c>
      <c r="M16" s="1" t="s">
        <v>30</v>
      </c>
      <c r="N16" s="1">
        <v>0.154</v>
      </c>
      <c r="O16" s="9">
        <f t="shared" ref="O16:O34" si="2">SUM(F16:G16)*N16*V16</f>
        <v>9.6823780513342967E-5</v>
      </c>
      <c r="P16" s="1" t="s">
        <v>61</v>
      </c>
      <c r="Q16" s="10">
        <v>0.11503327127657351</v>
      </c>
      <c r="R16" s="11" t="s">
        <v>21</v>
      </c>
      <c r="S16" s="1">
        <v>1</v>
      </c>
      <c r="T16" s="1">
        <v>2</v>
      </c>
      <c r="U16" s="1">
        <f>11613*1.852</f>
        <v>21507.276000000002</v>
      </c>
      <c r="V16" s="1">
        <f>$Q$81*Q16</f>
        <v>1.4724258723401408E-6</v>
      </c>
      <c r="W16" s="1">
        <f>U16*V16*$Q$82</f>
        <v>3.3251263107258186E-4</v>
      </c>
      <c r="AB16" s="8"/>
      <c r="AC16" s="8"/>
    </row>
    <row r="17" spans="1:29" x14ac:dyDescent="0.2">
      <c r="A17" s="31" t="s">
        <v>66</v>
      </c>
      <c r="B17" s="1">
        <v>0</v>
      </c>
      <c r="C17" s="1">
        <v>43.403556292276022</v>
      </c>
      <c r="D17" s="1">
        <v>0</v>
      </c>
      <c r="G17" s="1">
        <v>5</v>
      </c>
      <c r="L17" s="1" t="s">
        <v>67</v>
      </c>
      <c r="N17" s="1">
        <v>0.154</v>
      </c>
      <c r="O17" s="9">
        <f t="shared" si="2"/>
        <v>1.9791068279159323E-7</v>
      </c>
      <c r="P17" s="1" t="s">
        <v>68</v>
      </c>
      <c r="Q17" s="10">
        <v>2.0080223497523666E-2</v>
      </c>
      <c r="R17" s="1" t="s">
        <v>68</v>
      </c>
      <c r="S17" s="1">
        <v>0</v>
      </c>
      <c r="T17" s="1">
        <v>1</v>
      </c>
      <c r="V17" s="1">
        <f>$Q$81*Q17</f>
        <v>2.5702686076830289E-7</v>
      </c>
      <c r="W17" s="1">
        <f>U17*V17*$Q$82</f>
        <v>0</v>
      </c>
      <c r="AB17" s="8"/>
      <c r="AC17" s="8"/>
    </row>
    <row r="18" spans="1:29" x14ac:dyDescent="0.2">
      <c r="F18" s="1">
        <v>240</v>
      </c>
      <c r="G18" s="1">
        <v>200</v>
      </c>
      <c r="J18" s="1" t="s">
        <v>72</v>
      </c>
      <c r="K18" s="1" t="s">
        <v>73</v>
      </c>
      <c r="L18" s="1" t="s">
        <v>29</v>
      </c>
      <c r="M18" s="1" t="s">
        <v>30</v>
      </c>
      <c r="N18" s="1">
        <v>0.154</v>
      </c>
      <c r="O18" s="9">
        <f t="shared" si="2"/>
        <v>1.7416140085660205E-5</v>
      </c>
      <c r="P18" s="1" t="s">
        <v>68</v>
      </c>
      <c r="Q18" s="10">
        <v>2.0080223497523666E-2</v>
      </c>
      <c r="R18" s="11" t="s">
        <v>21</v>
      </c>
      <c r="S18" s="1">
        <v>1</v>
      </c>
      <c r="T18" s="1">
        <v>2</v>
      </c>
      <c r="U18" s="1">
        <f>5907*1.852</f>
        <v>10939.764000000001</v>
      </c>
      <c r="V18" s="1">
        <f>$Q$81*Q18</f>
        <v>2.5702686076830289E-7</v>
      </c>
      <c r="W18" s="1">
        <f>U18*V18*$Q$82</f>
        <v>2.9524038583893971E-5</v>
      </c>
      <c r="AB18" s="8"/>
      <c r="AC18" s="8"/>
    </row>
    <row r="19" spans="1:29" x14ac:dyDescent="0.2">
      <c r="A19" s="31" t="s">
        <v>42</v>
      </c>
      <c r="B19" s="1">
        <v>0</v>
      </c>
      <c r="C19" s="1">
        <v>22.338869420810724</v>
      </c>
      <c r="D19" s="1">
        <v>0</v>
      </c>
      <c r="F19" s="1">
        <v>2030</v>
      </c>
      <c r="G19" s="1">
        <v>822</v>
      </c>
      <c r="J19" s="1" t="s">
        <v>27</v>
      </c>
      <c r="K19" s="1" t="s">
        <v>28</v>
      </c>
      <c r="L19" s="1" t="s">
        <v>75</v>
      </c>
      <c r="M19" s="1" t="s">
        <v>76</v>
      </c>
      <c r="N19" s="1">
        <v>0.154</v>
      </c>
      <c r="O19" s="9">
        <f t="shared" si="2"/>
        <v>7.5647810631596519E-5</v>
      </c>
      <c r="P19" s="1" t="s">
        <v>31</v>
      </c>
      <c r="Q19" s="10">
        <v>1.3456005367829088E-2</v>
      </c>
      <c r="R19" s="1" t="s">
        <v>77</v>
      </c>
      <c r="S19" s="1">
        <v>0</v>
      </c>
      <c r="T19" s="1">
        <v>1</v>
      </c>
      <c r="U19" s="1">
        <f>5070*1.852</f>
        <v>9389.6400000000012</v>
      </c>
      <c r="V19" s="1">
        <f>$Q$81*Q19</f>
        <v>1.7223686870821233E-7</v>
      </c>
      <c r="W19" s="1">
        <f>U19*V19*$Q$82</f>
        <v>1.6981043014922481E-5</v>
      </c>
      <c r="AB19" s="8"/>
      <c r="AC19" s="8"/>
    </row>
    <row r="20" spans="1:29" x14ac:dyDescent="0.2">
      <c r="A20" s="31" t="s">
        <v>79</v>
      </c>
      <c r="B20" s="1">
        <v>0</v>
      </c>
      <c r="C20" s="1">
        <v>3.8994760878649153</v>
      </c>
      <c r="D20" s="1">
        <v>0</v>
      </c>
      <c r="G20" s="1">
        <v>200</v>
      </c>
      <c r="L20" s="1" t="s">
        <v>26</v>
      </c>
      <c r="N20" s="1">
        <v>0.154</v>
      </c>
      <c r="O20" s="9">
        <f t="shared" si="2"/>
        <v>1.1820436995549415E-5</v>
      </c>
      <c r="P20" s="1" t="s">
        <v>77</v>
      </c>
      <c r="Q20" s="10">
        <v>2.9982845463548641E-2</v>
      </c>
      <c r="R20" s="1" t="s">
        <v>77</v>
      </c>
      <c r="S20" s="1">
        <v>0</v>
      </c>
      <c r="T20" s="1">
        <v>1</v>
      </c>
      <c r="V20" s="1">
        <f>$Q$81*Q20</f>
        <v>3.8378042193342258E-7</v>
      </c>
      <c r="W20" s="1">
        <f>U20*V20*$Q$82</f>
        <v>0</v>
      </c>
      <c r="AB20" s="8"/>
      <c r="AC20" s="8"/>
    </row>
    <row r="21" spans="1:29" x14ac:dyDescent="0.2">
      <c r="F21" s="1">
        <v>822</v>
      </c>
      <c r="G21" s="1">
        <v>200</v>
      </c>
      <c r="J21" s="1" t="s">
        <v>80</v>
      </c>
      <c r="K21" s="1" t="s">
        <v>76</v>
      </c>
      <c r="L21" s="1" t="s">
        <v>29</v>
      </c>
      <c r="M21" s="1" t="s">
        <v>30</v>
      </c>
      <c r="N21" s="1">
        <v>0.154</v>
      </c>
      <c r="O21" s="9">
        <f t="shared" si="2"/>
        <v>8.7510449339505648E-5</v>
      </c>
      <c r="P21" s="1" t="s">
        <v>77</v>
      </c>
      <c r="Q21" s="10">
        <v>4.3438850831377732E-2</v>
      </c>
      <c r="R21" s="11" t="s">
        <v>21</v>
      </c>
      <c r="S21" s="1">
        <v>1</v>
      </c>
      <c r="T21" s="1">
        <v>2</v>
      </c>
      <c r="U21" s="1">
        <f>9597*1.852</f>
        <v>17773.644</v>
      </c>
      <c r="V21" s="1">
        <f>$Q$81*Q21</f>
        <v>5.5601729064163496E-7</v>
      </c>
      <c r="W21" s="1">
        <f>U21*V21*$Q$82</f>
        <v>1.0376576050794401E-4</v>
      </c>
      <c r="AB21" s="8"/>
      <c r="AC21" s="8"/>
    </row>
    <row r="22" spans="1:29" x14ac:dyDescent="0.2">
      <c r="A22" s="31" t="s">
        <v>81</v>
      </c>
      <c r="B22" s="1">
        <v>0</v>
      </c>
      <c r="C22" s="1">
        <v>8.4356013329322668</v>
      </c>
      <c r="D22" s="1">
        <v>0</v>
      </c>
      <c r="G22" s="1">
        <v>545</v>
      </c>
      <c r="L22" s="1" t="s">
        <v>82</v>
      </c>
      <c r="M22" s="1" t="s">
        <v>83</v>
      </c>
      <c r="N22" s="1">
        <v>0.154</v>
      </c>
      <c r="O22" s="9">
        <f t="shared" si="2"/>
        <v>1.7952428670548995E-5</v>
      </c>
      <c r="P22" s="1" t="s">
        <v>51</v>
      </c>
      <c r="Q22" s="10">
        <v>1.6710752887961876E-2</v>
      </c>
      <c r="R22" s="1" t="s">
        <v>51</v>
      </c>
      <c r="S22" s="1">
        <v>0</v>
      </c>
      <c r="T22" s="1">
        <v>1</v>
      </c>
      <c r="V22" s="1">
        <f>$Q$81*Q22</f>
        <v>2.1389763696591201E-7</v>
      </c>
      <c r="W22" s="1">
        <f>U22*V22*$Q$82</f>
        <v>0</v>
      </c>
      <c r="AB22" s="8"/>
      <c r="AC22" s="8"/>
    </row>
    <row r="23" spans="1:29" x14ac:dyDescent="0.2">
      <c r="F23" s="1">
        <v>712</v>
      </c>
      <c r="G23" s="1">
        <v>200</v>
      </c>
      <c r="J23" s="1" t="s">
        <v>85</v>
      </c>
      <c r="K23" s="1" t="s">
        <v>83</v>
      </c>
      <c r="L23" s="1" t="s">
        <v>29</v>
      </c>
      <c r="M23" s="1" t="s">
        <v>30</v>
      </c>
      <c r="N23" s="1">
        <v>0.154</v>
      </c>
      <c r="O23" s="9">
        <f t="shared" si="2"/>
        <v>3.0041495316588413E-5</v>
      </c>
      <c r="P23" s="1" t="s">
        <v>51</v>
      </c>
      <c r="Q23" s="10">
        <v>1.6710752887961876E-2</v>
      </c>
      <c r="R23" s="11" t="s">
        <v>21</v>
      </c>
      <c r="S23" s="1">
        <v>1</v>
      </c>
      <c r="T23" s="1">
        <v>2</v>
      </c>
      <c r="U23" s="1">
        <f>7015*1.852</f>
        <v>12991.78</v>
      </c>
      <c r="V23" s="1">
        <f>$Q$81*Q23</f>
        <v>2.1389763696591201E-7</v>
      </c>
      <c r="W23" s="1">
        <f>U23*V23*$Q$82</f>
        <v>2.9178565940800467E-5</v>
      </c>
      <c r="AB23" s="8"/>
      <c r="AC23" s="8"/>
    </row>
    <row r="24" spans="1:29" x14ac:dyDescent="0.2">
      <c r="A24" s="31" t="s">
        <v>50</v>
      </c>
      <c r="B24" s="1">
        <v>0</v>
      </c>
      <c r="C24" s="1">
        <v>3.2451422318513021</v>
      </c>
      <c r="D24" s="1">
        <v>0</v>
      </c>
      <c r="G24" s="1">
        <v>5</v>
      </c>
      <c r="L24" s="1" t="s">
        <v>67</v>
      </c>
      <c r="N24" s="1">
        <v>0.154</v>
      </c>
      <c r="O24" s="9">
        <f t="shared" si="2"/>
        <v>2.0666183543203785E-6</v>
      </c>
      <c r="P24" s="1" t="s">
        <v>87</v>
      </c>
      <c r="Q24" s="10">
        <v>0.20968124536529814</v>
      </c>
      <c r="R24" s="1" t="s">
        <v>87</v>
      </c>
      <c r="S24" s="1">
        <v>0</v>
      </c>
      <c r="T24" s="1">
        <v>1</v>
      </c>
      <c r="V24" s="1">
        <f>$Q$81*Q24</f>
        <v>2.683919940675816E-6</v>
      </c>
      <c r="W24" s="1">
        <f>U24*V24*$Q$82</f>
        <v>0</v>
      </c>
    </row>
    <row r="25" spans="1:29" x14ac:dyDescent="0.2">
      <c r="F25" s="1">
        <v>2511</v>
      </c>
      <c r="G25" s="1">
        <v>200</v>
      </c>
      <c r="J25" s="1" t="s">
        <v>88</v>
      </c>
      <c r="K25" s="1" t="s">
        <v>89</v>
      </c>
      <c r="L25" s="1" t="s">
        <v>29</v>
      </c>
      <c r="M25" s="1" t="s">
        <v>30</v>
      </c>
      <c r="N25" s="1">
        <v>0.154</v>
      </c>
      <c r="O25" s="9">
        <f t="shared" si="2"/>
        <v>1.120520471712509E-3</v>
      </c>
      <c r="P25" s="1" t="s">
        <v>87</v>
      </c>
      <c r="Q25" s="10">
        <v>0.20968124536529814</v>
      </c>
      <c r="R25" s="11" t="s">
        <v>21</v>
      </c>
      <c r="S25" s="1">
        <v>1</v>
      </c>
      <c r="T25" s="1">
        <v>2</v>
      </c>
      <c r="U25" s="1">
        <f>7015*1.852</f>
        <v>12991.78</v>
      </c>
      <c r="V25" s="1">
        <f>$Q$81*Q25</f>
        <v>2.683919940675816E-6</v>
      </c>
      <c r="W25" s="1">
        <f>U25*V25*$Q$82</f>
        <v>3.6612342277216921E-4</v>
      </c>
    </row>
    <row r="26" spans="1:29" x14ac:dyDescent="0.2">
      <c r="A26" s="31" t="s">
        <v>91</v>
      </c>
      <c r="B26" s="1">
        <v>0</v>
      </c>
      <c r="C26" s="1">
        <v>40.719019012739082</v>
      </c>
      <c r="D26" s="1">
        <v>0</v>
      </c>
      <c r="G26" s="1">
        <v>546</v>
      </c>
      <c r="L26" s="1" t="s">
        <v>22</v>
      </c>
      <c r="M26" s="1" t="s">
        <v>23</v>
      </c>
      <c r="N26" s="1">
        <v>0.154</v>
      </c>
      <c r="O26" s="9">
        <f t="shared" si="2"/>
        <v>2.1696008589444413E-5</v>
      </c>
      <c r="P26" s="11" t="s">
        <v>21</v>
      </c>
      <c r="Q26" s="10">
        <v>2.015842099626974E-2</v>
      </c>
      <c r="R26" s="11" t="s">
        <v>21</v>
      </c>
      <c r="S26" s="1">
        <v>0</v>
      </c>
      <c r="T26" s="1">
        <v>1</v>
      </c>
      <c r="V26" s="1">
        <f>$Q$81*Q26</f>
        <v>2.5802778875225267E-7</v>
      </c>
      <c r="W26" s="1">
        <f>U26*V26*$Q$82</f>
        <v>0</v>
      </c>
    </row>
    <row r="27" spans="1:29" x14ac:dyDescent="0.2">
      <c r="A27" s="31" t="s">
        <v>36</v>
      </c>
      <c r="B27" s="1">
        <v>0</v>
      </c>
      <c r="C27" s="1">
        <v>18.461416403225289</v>
      </c>
      <c r="D27" s="1">
        <v>0</v>
      </c>
      <c r="F27" s="1">
        <v>2030</v>
      </c>
      <c r="G27" s="1">
        <v>200</v>
      </c>
      <c r="J27" s="1" t="s">
        <v>27</v>
      </c>
      <c r="K27" s="1" t="s">
        <v>28</v>
      </c>
      <c r="L27" s="1" t="s">
        <v>29</v>
      </c>
      <c r="M27" s="1" t="s">
        <v>30</v>
      </c>
      <c r="N27" s="1">
        <v>0.154</v>
      </c>
      <c r="O27" s="9">
        <f t="shared" si="2"/>
        <v>3.292789374348844E-4</v>
      </c>
      <c r="P27" s="1" t="s">
        <v>31</v>
      </c>
      <c r="Q27" s="10">
        <v>7.490803385679444E-2</v>
      </c>
      <c r="R27" s="11" t="s">
        <v>21</v>
      </c>
      <c r="S27" s="1">
        <v>0</v>
      </c>
      <c r="T27" s="1">
        <v>1</v>
      </c>
      <c r="U27" s="1">
        <f>8931*1.852</f>
        <v>16540.212</v>
      </c>
      <c r="V27" s="1">
        <f>$Q$81*Q27</f>
        <v>9.5882283336696872E-7</v>
      </c>
      <c r="W27" s="1">
        <f>U27*V27*$Q$82</f>
        <v>1.6652089581046855E-4</v>
      </c>
    </row>
    <row r="28" spans="1:29" x14ac:dyDescent="0.2">
      <c r="F28" s="1">
        <v>200</v>
      </c>
      <c r="G28" s="1">
        <v>200</v>
      </c>
      <c r="J28" s="1" t="s">
        <v>29</v>
      </c>
      <c r="K28" s="1" t="s">
        <v>30</v>
      </c>
      <c r="L28" s="1" t="s">
        <v>26</v>
      </c>
      <c r="N28" s="1">
        <v>0.154</v>
      </c>
      <c r="O28" s="9">
        <f t="shared" si="2"/>
        <v>7.4957998322544038E-5</v>
      </c>
      <c r="P28" s="11" t="s">
        <v>21</v>
      </c>
      <c r="Q28" s="10">
        <v>9.506645485306417E-2</v>
      </c>
      <c r="R28" s="1" t="s">
        <v>25</v>
      </c>
      <c r="S28" s="1">
        <v>1</v>
      </c>
      <c r="T28" s="1">
        <v>2</v>
      </c>
      <c r="U28" s="1">
        <f>761*1.852</f>
        <v>1409.3720000000001</v>
      </c>
      <c r="V28" s="1">
        <f>$Q$81*Q28</f>
        <v>1.2168506221192213E-6</v>
      </c>
      <c r="W28" s="1">
        <f>U28*V28*$Q$82</f>
        <v>1.8007449547472817E-5</v>
      </c>
    </row>
    <row r="29" spans="1:29" x14ac:dyDescent="0.2">
      <c r="A29" s="31" t="s">
        <v>39</v>
      </c>
      <c r="B29" s="1">
        <v>0</v>
      </c>
      <c r="C29" s="1">
        <v>54.905953720379458</v>
      </c>
      <c r="D29" s="1">
        <v>0</v>
      </c>
      <c r="G29" s="1">
        <v>200</v>
      </c>
      <c r="L29" s="1" t="s">
        <v>26</v>
      </c>
      <c r="N29" s="1">
        <v>0.154</v>
      </c>
      <c r="O29" s="9">
        <f t="shared" si="2"/>
        <v>1.1146599743427227E-4</v>
      </c>
      <c r="P29" s="1" t="s">
        <v>25</v>
      </c>
      <c r="Q29" s="10">
        <v>0.28273639771274417</v>
      </c>
      <c r="R29" s="1" t="s">
        <v>25</v>
      </c>
      <c r="S29" s="1">
        <v>0</v>
      </c>
      <c r="T29" s="1">
        <v>1</v>
      </c>
      <c r="V29" s="1">
        <f>$Q$81*Q29</f>
        <v>3.6190258907231253E-6</v>
      </c>
      <c r="W29" s="1">
        <f>U29*V29*$Q$82</f>
        <v>0</v>
      </c>
    </row>
    <row r="30" spans="1:29" x14ac:dyDescent="0.2">
      <c r="G30" s="1">
        <v>200</v>
      </c>
      <c r="L30" s="1" t="s">
        <v>26</v>
      </c>
      <c r="N30" s="1">
        <v>0.154</v>
      </c>
      <c r="O30" s="9">
        <f t="shared" si="2"/>
        <v>1.1146599743427227E-4</v>
      </c>
      <c r="P30" s="1" t="s">
        <v>25</v>
      </c>
      <c r="Q30" s="10">
        <v>0.28273639771274417</v>
      </c>
      <c r="R30" s="1" t="s">
        <v>25</v>
      </c>
      <c r="S30" s="1">
        <v>1</v>
      </c>
      <c r="T30" s="1">
        <v>2</v>
      </c>
      <c r="V30" s="1">
        <f>$Q$81*Q30</f>
        <v>3.6190258907231253E-6</v>
      </c>
      <c r="W30" s="1">
        <f>U30*V30*$Q$82</f>
        <v>0</v>
      </c>
    </row>
    <row r="31" spans="1:29" x14ac:dyDescent="0.2">
      <c r="A31" s="31" t="s">
        <v>97</v>
      </c>
      <c r="B31" s="1">
        <v>0</v>
      </c>
      <c r="C31" s="1">
        <v>98.290709904916255</v>
      </c>
      <c r="D31" s="1">
        <v>0</v>
      </c>
      <c r="G31" s="1">
        <v>880</v>
      </c>
      <c r="L31" s="6" t="s">
        <v>98</v>
      </c>
      <c r="M31" s="6" t="s">
        <v>99</v>
      </c>
      <c r="N31" s="1">
        <v>0.154</v>
      </c>
      <c r="O31" s="9">
        <f t="shared" si="2"/>
        <v>8.7798705992850389E-4</v>
      </c>
      <c r="P31" s="1" t="s">
        <v>24</v>
      </c>
      <c r="Q31" s="10">
        <v>0.50614476871985215</v>
      </c>
      <c r="R31" s="1" t="s">
        <v>24</v>
      </c>
      <c r="S31" s="1">
        <v>0</v>
      </c>
      <c r="T31" s="1">
        <v>1</v>
      </c>
      <c r="V31" s="1">
        <f>$Q$81*Q31</f>
        <v>6.4786530396141073E-6</v>
      </c>
      <c r="W31" s="1">
        <f>U31*V31*$Q$82</f>
        <v>0</v>
      </c>
    </row>
    <row r="32" spans="1:29" x14ac:dyDescent="0.2">
      <c r="F32" s="1">
        <v>20</v>
      </c>
      <c r="G32" s="1">
        <v>200</v>
      </c>
      <c r="J32" s="6" t="s">
        <v>38</v>
      </c>
      <c r="K32" s="6" t="s">
        <v>41</v>
      </c>
      <c r="L32" s="1" t="s">
        <v>26</v>
      </c>
      <c r="N32" s="1">
        <v>0.154</v>
      </c>
      <c r="O32" s="9">
        <f t="shared" si="2"/>
        <v>2.1949676498212597E-4</v>
      </c>
      <c r="P32" s="1" t="s">
        <v>24</v>
      </c>
      <c r="Q32" s="10">
        <v>0.50614476871985215</v>
      </c>
      <c r="R32" s="1" t="s">
        <v>25</v>
      </c>
      <c r="S32" s="1">
        <v>1</v>
      </c>
      <c r="T32" s="1">
        <v>2</v>
      </c>
      <c r="U32" s="1">
        <f>4012*1.852</f>
        <v>7430.2240000000002</v>
      </c>
      <c r="V32" s="1">
        <f>$Q$81*Q32</f>
        <v>6.4786530396141073E-6</v>
      </c>
      <c r="W32" s="1">
        <f>U32*V32*$Q$82</f>
        <v>5.0544735467744379E-4</v>
      </c>
    </row>
    <row r="33" spans="1:24" x14ac:dyDescent="0.2">
      <c r="A33" s="31" t="s">
        <v>103</v>
      </c>
      <c r="B33" s="1">
        <v>0</v>
      </c>
      <c r="C33" s="1">
        <v>77.87663736382089</v>
      </c>
      <c r="D33" s="1">
        <v>0</v>
      </c>
      <c r="G33" s="1">
        <v>71</v>
      </c>
      <c r="L33" s="6" t="s">
        <v>44</v>
      </c>
      <c r="M33" s="6" t="s">
        <v>45</v>
      </c>
      <c r="N33" s="1">
        <v>0.154</v>
      </c>
      <c r="O33" s="9">
        <f t="shared" si="2"/>
        <v>5.6125278730273971E-5</v>
      </c>
      <c r="P33" s="1" t="s">
        <v>46</v>
      </c>
      <c r="Q33" s="10">
        <v>0.40102317548954225</v>
      </c>
      <c r="R33" s="1" t="s">
        <v>46</v>
      </c>
      <c r="S33" s="1">
        <v>0</v>
      </c>
      <c r="T33" s="1">
        <v>1</v>
      </c>
      <c r="V33" s="1">
        <f>$Q$81*Q33</f>
        <v>5.1330966462661402E-6</v>
      </c>
      <c r="W33" s="1">
        <f>U33*V33*$Q$82</f>
        <v>0</v>
      </c>
    </row>
    <row r="34" spans="1:24" x14ac:dyDescent="0.2">
      <c r="F34" s="1">
        <v>52</v>
      </c>
      <c r="G34" s="1">
        <v>200</v>
      </c>
      <c r="J34" s="6" t="s">
        <v>104</v>
      </c>
      <c r="K34" s="6" t="s">
        <v>49</v>
      </c>
      <c r="L34" s="1" t="s">
        <v>26</v>
      </c>
      <c r="N34" s="1">
        <v>0.154</v>
      </c>
      <c r="O34" s="9">
        <f t="shared" si="2"/>
        <v>1.9920521464829636E-4</v>
      </c>
      <c r="P34" s="1" t="s">
        <v>46</v>
      </c>
      <c r="Q34" s="10">
        <v>0.40102317548954225</v>
      </c>
      <c r="R34" s="1" t="s">
        <v>25</v>
      </c>
      <c r="S34" s="1">
        <v>1</v>
      </c>
      <c r="T34" s="1">
        <v>2</v>
      </c>
      <c r="U34" s="1">
        <f>10999*1.852</f>
        <v>20370.148000000001</v>
      </c>
      <c r="V34" s="1">
        <f>$Q$81*Q34</f>
        <v>5.1330966462661402E-6</v>
      </c>
      <c r="W34" s="1">
        <f>U34*V34*$Q$82</f>
        <v>1.0979003530188218E-3</v>
      </c>
    </row>
    <row r="35" spans="1:24" x14ac:dyDescent="0.2">
      <c r="A35" s="31" t="s">
        <v>105</v>
      </c>
      <c r="B35" s="1">
        <v>0</v>
      </c>
      <c r="C35" s="1">
        <v>291.31945345312522</v>
      </c>
      <c r="D35" s="1">
        <v>0</v>
      </c>
      <c r="I35" s="1">
        <v>500</v>
      </c>
      <c r="L35" s="6" t="s">
        <v>53</v>
      </c>
      <c r="M35" s="6" t="s">
        <v>106</v>
      </c>
      <c r="N35" s="1">
        <v>6.1499999999999999E-2</v>
      </c>
      <c r="O35" s="9">
        <f>I35*N35*V35</f>
        <v>5.9045507130314344E-4</v>
      </c>
      <c r="P35" s="1" t="s">
        <v>55</v>
      </c>
      <c r="Q35" s="10">
        <v>1.5001399169287182</v>
      </c>
      <c r="R35" s="1" t="s">
        <v>55</v>
      </c>
      <c r="S35" s="1">
        <v>0</v>
      </c>
      <c r="T35" s="1">
        <v>1</v>
      </c>
      <c r="V35" s="1">
        <f>$Q$81*Q35</f>
        <v>1.9201790936687592E-5</v>
      </c>
      <c r="W35" s="1">
        <f>U35*V35*$Q$82</f>
        <v>0</v>
      </c>
    </row>
    <row r="36" spans="1:24" x14ac:dyDescent="0.2">
      <c r="G36" s="1">
        <v>200</v>
      </c>
      <c r="H36" s="1">
        <v>505</v>
      </c>
      <c r="J36" s="6" t="s">
        <v>110</v>
      </c>
      <c r="K36" s="6" t="s">
        <v>106</v>
      </c>
      <c r="L36" s="1" t="s">
        <v>26</v>
      </c>
      <c r="N36" s="1">
        <v>6.1499999999999999E-2</v>
      </c>
      <c r="O36" s="9">
        <f>((H36*N36)+(G36*N36))*V36</f>
        <v>8.3254165053743231E-4</v>
      </c>
      <c r="P36" s="1" t="s">
        <v>55</v>
      </c>
      <c r="Q36" s="10">
        <v>1.5001399169287182</v>
      </c>
      <c r="R36" s="1" t="s">
        <v>25</v>
      </c>
      <c r="S36" s="1">
        <v>1</v>
      </c>
      <c r="T36" s="1">
        <v>2</v>
      </c>
      <c r="U36" s="1">
        <f>10663*1.852</f>
        <v>19747.876</v>
      </c>
      <c r="V36" s="1">
        <f>$Q$81*Q36</f>
        <v>1.9201790936687592E-5</v>
      </c>
      <c r="W36" s="1">
        <f>U36*V36*$Q$82</f>
        <v>3.9815431571541193E-3</v>
      </c>
    </row>
    <row r="37" spans="1:24" x14ac:dyDescent="0.2">
      <c r="A37" s="31" t="s">
        <v>69</v>
      </c>
      <c r="B37" s="1">
        <v>0</v>
      </c>
      <c r="C37" s="1">
        <v>2040.9736960250154</v>
      </c>
      <c r="D37" s="1">
        <v>0</v>
      </c>
      <c r="G37" s="1">
        <v>300</v>
      </c>
      <c r="L37" s="6" t="s">
        <v>59</v>
      </c>
      <c r="M37" s="6" t="s">
        <v>60</v>
      </c>
      <c r="N37" s="1">
        <v>0.154</v>
      </c>
      <c r="O37" s="9">
        <f>SUM(F37:G37)*N37*V37</f>
        <v>6.2151502710379282E-3</v>
      </c>
      <c r="P37" s="1" t="s">
        <v>61</v>
      </c>
      <c r="Q37" s="10">
        <v>10.509926729974852</v>
      </c>
      <c r="R37" s="1" t="s">
        <v>61</v>
      </c>
      <c r="S37" s="1">
        <v>0</v>
      </c>
      <c r="T37" s="1">
        <v>1</v>
      </c>
      <c r="V37" s="1">
        <f>$Q$81*Q37</f>
        <v>1.345270621436781E-4</v>
      </c>
      <c r="W37" s="1">
        <f>U37*V37*$Q$82</f>
        <v>0</v>
      </c>
      <c r="X37" s="10"/>
    </row>
    <row r="38" spans="1:24" x14ac:dyDescent="0.2">
      <c r="F38" s="1">
        <v>227</v>
      </c>
      <c r="G38" s="1">
        <v>200</v>
      </c>
      <c r="J38" s="1" t="s">
        <v>63</v>
      </c>
      <c r="K38" s="1" t="s">
        <v>64</v>
      </c>
      <c r="L38" s="1" t="s">
        <v>26</v>
      </c>
      <c r="N38" s="1">
        <v>0.154</v>
      </c>
      <c r="O38" s="9">
        <f>SUM(F38:G38)*N38*V38</f>
        <v>8.846230552443983E-3</v>
      </c>
      <c r="P38" s="1" t="s">
        <v>61</v>
      </c>
      <c r="Q38" s="10">
        <v>10.509926729974852</v>
      </c>
      <c r="R38" s="1" t="s">
        <v>25</v>
      </c>
      <c r="S38" s="1">
        <v>1</v>
      </c>
      <c r="T38" s="1">
        <v>2</v>
      </c>
      <c r="U38" s="1">
        <f>12040*1.852</f>
        <v>22298.080000000002</v>
      </c>
      <c r="V38" s="1">
        <f>$Q$81*Q38</f>
        <v>1.345270621436781E-4</v>
      </c>
      <c r="W38" s="1">
        <f>U38*V38*$Q$82</f>
        <v>3.1496799535369414E-2</v>
      </c>
    </row>
    <row r="39" spans="1:24" x14ac:dyDescent="0.2">
      <c r="A39" s="31" t="s">
        <v>47</v>
      </c>
      <c r="B39" s="1">
        <v>0</v>
      </c>
      <c r="C39" s="1">
        <v>8.5527391483528198E-2</v>
      </c>
      <c r="D39" s="1">
        <v>0</v>
      </c>
      <c r="H39" s="1">
        <v>1444</v>
      </c>
      <c r="L39" s="1" t="s">
        <v>108</v>
      </c>
      <c r="M39" s="1" t="s">
        <v>115</v>
      </c>
      <c r="N39" s="1">
        <v>6.1499999999999999E-2</v>
      </c>
      <c r="O39" s="9">
        <f>H39*N39*V39</f>
        <v>5.0063336036597151E-7</v>
      </c>
      <c r="P39" s="1" t="s">
        <v>109</v>
      </c>
      <c r="Q39" s="10">
        <v>4.4042048148313772E-4</v>
      </c>
      <c r="R39" s="1" t="s">
        <v>109</v>
      </c>
      <c r="S39" s="1">
        <v>0</v>
      </c>
      <c r="T39" s="1">
        <v>1</v>
      </c>
      <c r="V39" s="1">
        <f>$Q$81*Q39</f>
        <v>5.6373821629841628E-9</v>
      </c>
      <c r="W39" s="1">
        <f>U39*V39*$Q$82</f>
        <v>0</v>
      </c>
    </row>
    <row r="40" spans="1:24" x14ac:dyDescent="0.2">
      <c r="F40" s="1">
        <v>590</v>
      </c>
      <c r="G40" s="1">
        <v>200</v>
      </c>
      <c r="J40" s="1" t="s">
        <v>108</v>
      </c>
      <c r="K40" s="1" t="s">
        <v>116</v>
      </c>
      <c r="L40" s="1" t="s">
        <v>26</v>
      </c>
      <c r="N40" s="1">
        <v>0.154</v>
      </c>
      <c r="O40" s="9">
        <f>SUM(F40:G40)*N40*V40</f>
        <v>6.858439139486532E-7</v>
      </c>
      <c r="P40" s="1" t="s">
        <v>109</v>
      </c>
      <c r="Q40" s="10">
        <v>4.4042048148313772E-4</v>
      </c>
      <c r="R40" s="1" t="s">
        <v>25</v>
      </c>
      <c r="S40" s="1">
        <v>1</v>
      </c>
      <c r="T40" s="1">
        <v>2</v>
      </c>
      <c r="U40" s="1">
        <f>4641*1.852</f>
        <v>8595.1319999999996</v>
      </c>
      <c r="V40" s="1">
        <f>$Q$81*Q40</f>
        <v>5.6373821629841628E-9</v>
      </c>
      <c r="W40" s="1">
        <f>U40*V40*$Q$82</f>
        <v>5.0876746016559115E-7</v>
      </c>
    </row>
    <row r="41" spans="1:24" x14ac:dyDescent="0.2">
      <c r="A41" s="31" t="s">
        <v>117</v>
      </c>
      <c r="B41" s="1">
        <v>0</v>
      </c>
      <c r="C41" s="1">
        <v>54.905953720379458</v>
      </c>
      <c r="D41" s="1">
        <v>0</v>
      </c>
      <c r="G41" s="1">
        <v>5</v>
      </c>
      <c r="L41" s="1" t="s">
        <v>67</v>
      </c>
      <c r="N41" s="1">
        <v>0.154</v>
      </c>
      <c r="O41" s="9">
        <f t="shared" ref="O41:O77" si="3">SUM(F41:G41)*N41*V41</f>
        <v>2.7866499358568066E-6</v>
      </c>
      <c r="P41" s="1" t="s">
        <v>68</v>
      </c>
      <c r="Q41" s="10">
        <v>0.28273639771274417</v>
      </c>
      <c r="R41" s="1" t="s">
        <v>68</v>
      </c>
      <c r="S41" s="1">
        <v>0</v>
      </c>
      <c r="T41" s="1">
        <v>1</v>
      </c>
      <c r="V41" s="1">
        <f>$Q$81*Q41</f>
        <v>3.6190258907231253E-6</v>
      </c>
      <c r="W41" s="1">
        <f>U41*V41*$Q$82</f>
        <v>0</v>
      </c>
    </row>
    <row r="42" spans="1:24" x14ac:dyDescent="0.2">
      <c r="F42" s="1">
        <v>240</v>
      </c>
      <c r="G42" s="1">
        <v>200</v>
      </c>
      <c r="J42" s="1" t="s">
        <v>118</v>
      </c>
      <c r="K42" s="1" t="s">
        <v>73</v>
      </c>
      <c r="L42" s="1" t="s">
        <v>26</v>
      </c>
      <c r="N42" s="1">
        <v>0.154</v>
      </c>
      <c r="O42" s="9">
        <f t="shared" si="3"/>
        <v>2.4522519435539897E-4</v>
      </c>
      <c r="P42" s="1" t="s">
        <v>68</v>
      </c>
      <c r="Q42" s="10">
        <v>0.28273639771274417</v>
      </c>
      <c r="R42" s="1" t="s">
        <v>25</v>
      </c>
      <c r="S42" s="1">
        <v>1</v>
      </c>
      <c r="T42" s="1">
        <v>2</v>
      </c>
      <c r="U42" s="1">
        <f>6380*1.852</f>
        <v>11815.76</v>
      </c>
      <c r="V42" s="1">
        <f>$Q$81*Q42</f>
        <v>3.6190258907231253E-6</v>
      </c>
      <c r="W42" s="1">
        <f>U42*V42*$Q$82</f>
        <v>4.4899618426499211E-4</v>
      </c>
    </row>
    <row r="43" spans="1:24" x14ac:dyDescent="0.2">
      <c r="A43" s="31" t="s">
        <v>119</v>
      </c>
      <c r="B43" s="1">
        <v>0</v>
      </c>
      <c r="C43" s="1">
        <v>213.16057569740872</v>
      </c>
      <c r="D43" s="1">
        <v>0</v>
      </c>
      <c r="F43" s="1">
        <v>2030</v>
      </c>
      <c r="G43" s="1">
        <v>822</v>
      </c>
      <c r="J43" s="1" t="s">
        <v>27</v>
      </c>
      <c r="K43" s="1" t="s">
        <v>28</v>
      </c>
      <c r="L43" s="1" t="s">
        <v>80</v>
      </c>
      <c r="M43" s="1" t="s">
        <v>76</v>
      </c>
      <c r="N43" s="1">
        <v>0.154</v>
      </c>
      <c r="O43" s="9">
        <f t="shared" si="3"/>
        <v>1.9115567732590408E-3</v>
      </c>
      <c r="P43" s="1" t="s">
        <v>31</v>
      </c>
      <c r="Q43" s="10">
        <v>0.34002197799416811</v>
      </c>
      <c r="R43" s="6" t="s">
        <v>77</v>
      </c>
      <c r="S43" s="1">
        <v>0</v>
      </c>
      <c r="T43" s="1">
        <v>1</v>
      </c>
      <c r="U43" s="1">
        <f>3451*1.852</f>
        <v>6391.2520000000004</v>
      </c>
      <c r="V43" s="1">
        <f>$Q$81*Q43</f>
        <v>4.3522813183253513E-6</v>
      </c>
      <c r="W43" s="1">
        <f>U43*V43*$Q$82</f>
        <v>2.9207353014325016E-4</v>
      </c>
    </row>
    <row r="44" spans="1:24" x14ac:dyDescent="0.2">
      <c r="A44" s="31" t="s">
        <v>65</v>
      </c>
      <c r="B44" s="1">
        <v>0</v>
      </c>
      <c r="C44" s="1">
        <v>166.58104248945645</v>
      </c>
      <c r="D44" s="1">
        <v>0</v>
      </c>
      <c r="G44" s="1">
        <v>200</v>
      </c>
      <c r="L44" s="1" t="s">
        <v>26</v>
      </c>
      <c r="N44" s="1">
        <v>0.154</v>
      </c>
      <c r="O44" s="9">
        <f t="shared" si="3"/>
        <v>2.9869253601751421E-4</v>
      </c>
      <c r="P44" s="1" t="s">
        <v>77</v>
      </c>
      <c r="Q44" s="10">
        <v>0.75764137585611357</v>
      </c>
      <c r="R44" s="1" t="s">
        <v>77</v>
      </c>
      <c r="S44" s="1">
        <v>0</v>
      </c>
      <c r="T44" s="1">
        <v>1</v>
      </c>
      <c r="V44" s="1">
        <f>$Q$81*Q44</f>
        <v>9.6978096109582531E-6</v>
      </c>
      <c r="W44" s="1">
        <f>U44*V44*$Q$82</f>
        <v>0</v>
      </c>
    </row>
    <row r="45" spans="1:24" x14ac:dyDescent="0.2">
      <c r="F45" s="1">
        <v>822</v>
      </c>
      <c r="G45" s="1">
        <v>200</v>
      </c>
      <c r="J45" s="1" t="s">
        <v>80</v>
      </c>
      <c r="K45" s="1" t="s">
        <v>76</v>
      </c>
      <c r="L45" s="1" t="s">
        <v>26</v>
      </c>
      <c r="N45" s="1">
        <v>0.154</v>
      </c>
      <c r="O45" s="9">
        <f t="shared" si="3"/>
        <v>2.2113157111780879E-3</v>
      </c>
      <c r="P45" s="6" t="s">
        <v>77</v>
      </c>
      <c r="Q45" s="10">
        <v>1.0976633538502816</v>
      </c>
      <c r="R45" s="1" t="s">
        <v>25</v>
      </c>
      <c r="S45" s="1">
        <v>1</v>
      </c>
      <c r="T45" s="1">
        <v>2</v>
      </c>
      <c r="U45" s="1">
        <f>10066*1.852</f>
        <v>18642.232</v>
      </c>
      <c r="V45" s="1">
        <f>$Q$81*Q45</f>
        <v>1.4050090929283603E-5</v>
      </c>
      <c r="W45" s="1">
        <f>U45*V45*$Q$82</f>
        <v>2.7502130746104051E-3</v>
      </c>
    </row>
    <row r="46" spans="1:24" x14ac:dyDescent="0.2">
      <c r="A46" s="31" t="s">
        <v>78</v>
      </c>
      <c r="B46" s="1">
        <v>0</v>
      </c>
      <c r="C46" s="1">
        <v>21.631851015218515</v>
      </c>
      <c r="D46" s="1">
        <v>0</v>
      </c>
      <c r="G46" s="1">
        <v>317</v>
      </c>
      <c r="L46" s="1" t="s">
        <v>120</v>
      </c>
      <c r="M46" s="1" t="s">
        <v>121</v>
      </c>
      <c r="N46" s="1">
        <v>0.154</v>
      </c>
      <c r="O46" s="9">
        <f t="shared" si="3"/>
        <v>5.3601606861480313E-4</v>
      </c>
      <c r="P46" s="1" t="s">
        <v>70</v>
      </c>
      <c r="Q46" s="10">
        <v>0.85780358393484979</v>
      </c>
      <c r="R46" s="1" t="s">
        <v>70</v>
      </c>
      <c r="S46" s="1">
        <v>0</v>
      </c>
      <c r="T46" s="1">
        <v>1</v>
      </c>
      <c r="V46" s="1">
        <f>$Q$81*Q46</f>
        <v>1.0979885874366077E-5</v>
      </c>
      <c r="W46" s="1">
        <f>U46*V46*$Q$82</f>
        <v>0</v>
      </c>
    </row>
    <row r="47" spans="1:24" x14ac:dyDescent="0.2">
      <c r="F47" s="1">
        <v>300</v>
      </c>
      <c r="G47" s="1">
        <v>200</v>
      </c>
      <c r="J47" s="1" t="s">
        <v>122</v>
      </c>
      <c r="K47" s="1" t="s">
        <v>121</v>
      </c>
      <c r="L47" s="1" t="s">
        <v>83</v>
      </c>
      <c r="N47" s="1">
        <v>0.154</v>
      </c>
      <c r="O47" s="9">
        <f t="shared" si="3"/>
        <v>8.4545121232618798E-4</v>
      </c>
      <c r="P47" s="1" t="s">
        <v>70</v>
      </c>
      <c r="Q47" s="10">
        <v>0.85780358393484979</v>
      </c>
      <c r="R47" s="1" t="s">
        <v>25</v>
      </c>
      <c r="S47" s="1">
        <v>1</v>
      </c>
      <c r="T47" s="1">
        <v>2</v>
      </c>
      <c r="U47" s="1">
        <f>11697*1.852</f>
        <v>21662.844000000001</v>
      </c>
      <c r="V47" s="1">
        <f>$Q$81*Q47</f>
        <v>1.0979885874366077E-5</v>
      </c>
      <c r="W47" s="1">
        <f>U47*V47*$Q$82</f>
        <v>2.4974833257590573E-3</v>
      </c>
    </row>
    <row r="48" spans="1:24" x14ac:dyDescent="0.2">
      <c r="A48" s="31" t="s">
        <v>123</v>
      </c>
      <c r="B48" s="1">
        <v>0</v>
      </c>
      <c r="C48" s="1">
        <v>71.843008846163684</v>
      </c>
      <c r="D48" s="1">
        <v>0</v>
      </c>
      <c r="G48" s="1">
        <v>545</v>
      </c>
      <c r="L48" s="1" t="s">
        <v>82</v>
      </c>
      <c r="M48" s="1" t="s">
        <v>83</v>
      </c>
      <c r="N48" s="1">
        <v>0.154</v>
      </c>
      <c r="O48" s="9">
        <f t="shared" si="3"/>
        <v>1.1966941188309917E-4</v>
      </c>
      <c r="P48" s="1" t="s">
        <v>51</v>
      </c>
      <c r="Q48" s="10">
        <v>0.1113925033166582</v>
      </c>
      <c r="R48" s="1" t="s">
        <v>51</v>
      </c>
      <c r="S48" s="1">
        <v>0</v>
      </c>
      <c r="T48" s="1">
        <v>1</v>
      </c>
      <c r="V48" s="1">
        <f>$Q$81*Q48</f>
        <v>1.425824042453225E-6</v>
      </c>
      <c r="W48" s="1">
        <f>U48*V48*$Q$82</f>
        <v>0</v>
      </c>
    </row>
    <row r="49" spans="1:23" x14ac:dyDescent="0.2">
      <c r="F49" s="1">
        <v>712</v>
      </c>
      <c r="G49" s="1">
        <v>200</v>
      </c>
      <c r="J49" s="1" t="s">
        <v>124</v>
      </c>
      <c r="K49" s="1" t="s">
        <v>83</v>
      </c>
      <c r="L49" s="1" t="s">
        <v>83</v>
      </c>
      <c r="N49" s="1">
        <v>0.154</v>
      </c>
      <c r="O49" s="9">
        <f t="shared" si="3"/>
        <v>2.0025413511447055E-4</v>
      </c>
      <c r="P49" s="1" t="s">
        <v>51</v>
      </c>
      <c r="Q49" s="10">
        <v>0.1113925033166582</v>
      </c>
      <c r="R49" s="1" t="s">
        <v>25</v>
      </c>
      <c r="S49" s="1">
        <v>1</v>
      </c>
      <c r="T49" s="1">
        <v>2</v>
      </c>
      <c r="U49" s="1">
        <f>8164*1.852</f>
        <v>15119.728000000001</v>
      </c>
      <c r="V49" s="1">
        <f>$Q$81*Q49</f>
        <v>1.425824042453225E-6</v>
      </c>
      <c r="W49" s="1">
        <f>U49*V49*$Q$82</f>
        <v>2.263597528264088E-4</v>
      </c>
    </row>
    <row r="50" spans="1:23" x14ac:dyDescent="0.2">
      <c r="A50" s="31" t="s">
        <v>57</v>
      </c>
      <c r="B50" s="1">
        <v>0</v>
      </c>
      <c r="C50" s="1">
        <v>2150.1237636903702</v>
      </c>
      <c r="D50" s="1">
        <v>0</v>
      </c>
      <c r="G50" s="1">
        <v>5</v>
      </c>
      <c r="L50" s="1" t="s">
        <v>67</v>
      </c>
      <c r="N50" s="1">
        <v>0.154</v>
      </c>
      <c r="O50" s="9">
        <f t="shared" si="3"/>
        <v>3.646258783018156E-6</v>
      </c>
      <c r="P50" s="1" t="s">
        <v>87</v>
      </c>
      <c r="Q50" s="10">
        <v>0.36995320444583568</v>
      </c>
      <c r="R50" s="1" t="s">
        <v>87</v>
      </c>
      <c r="S50" s="1">
        <v>0</v>
      </c>
      <c r="T50" s="1">
        <v>1</v>
      </c>
      <c r="V50" s="1">
        <f>$Q$81*Q50</f>
        <v>4.7354010169066961E-6</v>
      </c>
      <c r="W50" s="1">
        <f>U50*V50*$Q$82</f>
        <v>0</v>
      </c>
    </row>
    <row r="51" spans="1:23" x14ac:dyDescent="0.2">
      <c r="F51" s="1">
        <v>2511</v>
      </c>
      <c r="G51" s="1">
        <v>200</v>
      </c>
      <c r="J51" s="1" t="s">
        <v>88</v>
      </c>
      <c r="K51" s="1" t="s">
        <v>89</v>
      </c>
      <c r="L51" s="1" t="s">
        <v>26</v>
      </c>
      <c r="N51" s="1">
        <v>0.154</v>
      </c>
      <c r="O51" s="9">
        <f t="shared" si="3"/>
        <v>1.9770015121524441E-3</v>
      </c>
      <c r="P51" s="1" t="s">
        <v>87</v>
      </c>
      <c r="Q51" s="10">
        <v>0.36995320444583568</v>
      </c>
      <c r="R51" s="1" t="s">
        <v>25</v>
      </c>
      <c r="S51" s="1">
        <v>1</v>
      </c>
      <c r="T51" s="1">
        <v>2</v>
      </c>
      <c r="V51" s="1">
        <f>$Q$81*Q51</f>
        <v>4.7354010169066961E-6</v>
      </c>
      <c r="W51" s="1">
        <f>U51*V51*$Q$82</f>
        <v>0</v>
      </c>
    </row>
    <row r="52" spans="1:23" x14ac:dyDescent="0.2">
      <c r="A52" s="31" t="s">
        <v>62</v>
      </c>
      <c r="B52" s="1">
        <v>0</v>
      </c>
      <c r="C52" s="1">
        <v>694.7881212745848</v>
      </c>
      <c r="D52" s="1">
        <v>0</v>
      </c>
      <c r="F52" s="1">
        <v>200</v>
      </c>
      <c r="G52" s="1">
        <v>546</v>
      </c>
      <c r="J52" s="1" t="s">
        <v>29</v>
      </c>
      <c r="K52" s="1" t="s">
        <v>30</v>
      </c>
      <c r="L52" s="1" t="s">
        <v>22</v>
      </c>
      <c r="M52" s="1" t="s">
        <v>23</v>
      </c>
      <c r="N52" s="1">
        <v>0.154</v>
      </c>
      <c r="O52" s="9">
        <f t="shared" si="3"/>
        <v>3.4524267264320848E-3</v>
      </c>
      <c r="P52" s="11" t="s">
        <v>21</v>
      </c>
      <c r="Q52" s="10">
        <v>2.3477667734628551</v>
      </c>
      <c r="R52" s="11" t="s">
        <v>21</v>
      </c>
      <c r="S52" s="1">
        <v>0</v>
      </c>
      <c r="T52" s="1">
        <v>1</v>
      </c>
      <c r="V52" s="1">
        <f>$Q$81*Q52</f>
        <v>3.0051414700324544E-5</v>
      </c>
      <c r="W52" s="1">
        <f>U52*V52*$Q$82</f>
        <v>0</v>
      </c>
    </row>
    <row r="53" spans="1:23" x14ac:dyDescent="0.2">
      <c r="A53" s="31" t="s">
        <v>126</v>
      </c>
      <c r="B53" s="1">
        <v>0</v>
      </c>
      <c r="C53" s="1">
        <v>1732.8213823566434</v>
      </c>
      <c r="D53" s="1">
        <v>0</v>
      </c>
      <c r="F53" s="1">
        <v>2030</v>
      </c>
      <c r="G53" s="1">
        <v>200</v>
      </c>
      <c r="J53" s="1" t="s">
        <v>27</v>
      </c>
      <c r="K53" s="1" t="s">
        <v>28</v>
      </c>
      <c r="L53" s="1" t="s">
        <v>29</v>
      </c>
      <c r="M53" s="1" t="s">
        <v>30</v>
      </c>
      <c r="N53" s="1">
        <v>0.154</v>
      </c>
      <c r="O53" s="9">
        <f t="shared" si="3"/>
        <v>3.8349737246475335E-2</v>
      </c>
      <c r="P53" s="1" t="s">
        <v>31</v>
      </c>
      <c r="Q53" s="10">
        <v>8.7242246298435902</v>
      </c>
      <c r="R53" s="11" t="s">
        <v>21</v>
      </c>
      <c r="S53" s="1">
        <v>0</v>
      </c>
      <c r="T53" s="1">
        <v>1</v>
      </c>
      <c r="U53" s="1">
        <f>8931*1.852</f>
        <v>16540.212</v>
      </c>
      <c r="V53" s="1">
        <f>$Q$81*Q53</f>
        <v>1.1167007526199795E-4</v>
      </c>
      <c r="W53" s="1">
        <f>U53*V53*$Q$82</f>
        <v>1.9393990548338718E-2</v>
      </c>
    </row>
    <row r="54" spans="1:23" x14ac:dyDescent="0.2">
      <c r="F54" s="1">
        <v>200</v>
      </c>
      <c r="G54" s="1">
        <v>200</v>
      </c>
      <c r="J54" s="1" t="s">
        <v>29</v>
      </c>
      <c r="K54" s="1" t="s">
        <v>30</v>
      </c>
      <c r="L54" s="1" t="s">
        <v>26</v>
      </c>
      <c r="N54" s="1">
        <v>0.154</v>
      </c>
      <c r="O54" s="9">
        <f t="shared" si="3"/>
        <v>8.7300437816790651E-3</v>
      </c>
      <c r="P54" s="11" t="s">
        <v>21</v>
      </c>
      <c r="Q54" s="10">
        <v>11.071991403306445</v>
      </c>
      <c r="R54" s="1" t="s">
        <v>32</v>
      </c>
      <c r="S54" s="1">
        <v>1</v>
      </c>
      <c r="T54" s="1">
        <v>2</v>
      </c>
      <c r="U54" s="1">
        <v>911.18400000000008</v>
      </c>
      <c r="V54" s="1">
        <f>$Q$81*Q54</f>
        <v>1.4172148996232248E-4</v>
      </c>
      <c r="W54" s="1">
        <f>U54*V54*$Q$82</f>
        <v>1.3559107181532032E-3</v>
      </c>
    </row>
    <row r="55" spans="1:23" x14ac:dyDescent="0.2">
      <c r="A55" s="31" t="s">
        <v>127</v>
      </c>
      <c r="B55" s="1">
        <v>0</v>
      </c>
      <c r="C55" s="1">
        <v>133.76643991410086</v>
      </c>
      <c r="D55" s="1">
        <v>0</v>
      </c>
      <c r="G55" s="1">
        <v>200</v>
      </c>
      <c r="L55" s="1" t="s">
        <v>26</v>
      </c>
      <c r="N55" s="1">
        <v>0.154</v>
      </c>
      <c r="O55" s="9">
        <f t="shared" si="3"/>
        <v>1.4105073438440308E-3</v>
      </c>
      <c r="P55" s="1" t="s">
        <v>25</v>
      </c>
      <c r="Q55" s="10">
        <v>3.5777885142147698</v>
      </c>
      <c r="R55" s="1" t="s">
        <v>25</v>
      </c>
      <c r="S55" s="1">
        <v>0</v>
      </c>
      <c r="T55" s="1">
        <v>1</v>
      </c>
      <c r="V55" s="1">
        <f>$Q$81*Q55</f>
        <v>4.579569298194905E-5</v>
      </c>
      <c r="W55" s="1">
        <f>U55*V55*$Q$82</f>
        <v>0</v>
      </c>
    </row>
    <row r="56" spans="1:23" x14ac:dyDescent="0.2">
      <c r="F56" s="1">
        <v>200</v>
      </c>
      <c r="G56" s="1">
        <v>200</v>
      </c>
      <c r="J56" s="1" t="s">
        <v>26</v>
      </c>
      <c r="L56" s="1" t="s">
        <v>26</v>
      </c>
      <c r="N56" s="1">
        <v>0.154</v>
      </c>
      <c r="O56" s="9">
        <f t="shared" si="3"/>
        <v>2.8210146876880616E-3</v>
      </c>
      <c r="P56" s="1" t="s">
        <v>25</v>
      </c>
      <c r="Q56" s="10">
        <v>3.5777885142147698</v>
      </c>
      <c r="R56" s="1" t="s">
        <v>32</v>
      </c>
      <c r="S56" s="1">
        <v>1</v>
      </c>
      <c r="T56" s="1">
        <v>2</v>
      </c>
      <c r="U56" s="1">
        <f>8164*1.852</f>
        <v>15119.728000000001</v>
      </c>
      <c r="V56" s="1">
        <f>$Q$81*Q56</f>
        <v>4.579569298194905E-5</v>
      </c>
      <c r="W56" s="1">
        <f>U56*V56*$Q$82</f>
        <v>7.2703934253150757E-3</v>
      </c>
    </row>
    <row r="57" spans="1:23" x14ac:dyDescent="0.2">
      <c r="A57" s="31" t="s">
        <v>128</v>
      </c>
      <c r="B57" s="1">
        <v>0</v>
      </c>
      <c r="C57" s="1">
        <v>271.05676104294565</v>
      </c>
      <c r="D57" s="1">
        <v>0</v>
      </c>
      <c r="G57" s="1">
        <v>220</v>
      </c>
      <c r="L57" s="1" t="s">
        <v>34</v>
      </c>
      <c r="M57" s="1" t="s">
        <v>35</v>
      </c>
      <c r="N57" s="1">
        <v>0.154</v>
      </c>
      <c r="O57" s="9">
        <f t="shared" si="3"/>
        <v>3.8696300808802554E-3</v>
      </c>
      <c r="P57" s="1" t="s">
        <v>31</v>
      </c>
      <c r="Q57" s="10">
        <v>8.9231065545681805</v>
      </c>
      <c r="R57" s="1" t="s">
        <v>31</v>
      </c>
      <c r="S57" s="1">
        <v>0</v>
      </c>
      <c r="T57" s="1">
        <v>1</v>
      </c>
      <c r="V57" s="1">
        <f>$Q$81*Q57</f>
        <v>1.1421576389847271E-4</v>
      </c>
      <c r="W57" s="1">
        <f>U57*V57*$Q$82</f>
        <v>0</v>
      </c>
    </row>
    <row r="58" spans="1:23" x14ac:dyDescent="0.2">
      <c r="F58" s="1">
        <v>2030</v>
      </c>
      <c r="G58" s="1">
        <v>200</v>
      </c>
      <c r="J58" s="1" t="s">
        <v>27</v>
      </c>
      <c r="K58" s="1" t="s">
        <v>28</v>
      </c>
      <c r="L58" s="1" t="s">
        <v>26</v>
      </c>
      <c r="N58" s="1">
        <v>0.154</v>
      </c>
      <c r="O58" s="9">
        <f t="shared" si="3"/>
        <v>3.9223977638013496E-2</v>
      </c>
      <c r="P58" s="1" t="s">
        <v>31</v>
      </c>
      <c r="Q58" s="10">
        <v>8.9231065545681805</v>
      </c>
      <c r="R58" s="1" t="s">
        <v>32</v>
      </c>
      <c r="S58" s="1">
        <v>1</v>
      </c>
      <c r="T58" s="1">
        <v>2</v>
      </c>
      <c r="U58" s="1">
        <f>9781*1.852</f>
        <v>18114.412</v>
      </c>
      <c r="V58" s="1">
        <f>$Q$81*Q58</f>
        <v>1.1421576389847271E-4</v>
      </c>
      <c r="W58" s="1">
        <f>U58*V58*$Q$82</f>
        <v>2.172398974359244E-2</v>
      </c>
    </row>
    <row r="59" spans="1:23" x14ac:dyDescent="0.2">
      <c r="A59" s="31" t="s">
        <v>129</v>
      </c>
      <c r="B59" s="1">
        <v>0</v>
      </c>
      <c r="C59" s="1">
        <v>64.1532926118647</v>
      </c>
      <c r="D59" s="1">
        <v>0</v>
      </c>
      <c r="G59" s="1">
        <v>880</v>
      </c>
      <c r="L59" s="6" t="s">
        <v>98</v>
      </c>
      <c r="M59" s="6" t="s">
        <v>99</v>
      </c>
      <c r="N59" s="1">
        <v>0.154</v>
      </c>
      <c r="O59" s="9">
        <f t="shared" si="3"/>
        <v>1.1948759288736195E-3</v>
      </c>
      <c r="P59" s="1" t="s">
        <v>24</v>
      </c>
      <c r="Q59" s="10">
        <v>0.68882587030144271</v>
      </c>
      <c r="R59" s="1" t="s">
        <v>24</v>
      </c>
      <c r="S59" s="1">
        <v>0</v>
      </c>
      <c r="T59" s="1">
        <v>1</v>
      </c>
      <c r="V59" s="1">
        <f>$Q$81*Q59</f>
        <v>8.8169711398584663E-6</v>
      </c>
      <c r="W59" s="1">
        <f>U59*V59*$Q$82</f>
        <v>0</v>
      </c>
    </row>
    <row r="60" spans="1:23" x14ac:dyDescent="0.2">
      <c r="F60" s="1">
        <v>20</v>
      </c>
      <c r="G60" s="1">
        <v>200</v>
      </c>
      <c r="J60" s="1" t="s">
        <v>38</v>
      </c>
      <c r="K60" s="1" t="s">
        <v>41</v>
      </c>
      <c r="L60" s="1" t="s">
        <v>26</v>
      </c>
      <c r="N60" s="1">
        <v>0.154</v>
      </c>
      <c r="O60" s="9">
        <f t="shared" si="3"/>
        <v>2.9871898221840487E-4</v>
      </c>
      <c r="P60" s="1" t="s">
        <v>24</v>
      </c>
      <c r="Q60" s="10">
        <v>0.68882587030144271</v>
      </c>
      <c r="R60" s="1" t="s">
        <v>32</v>
      </c>
      <c r="S60" s="1">
        <v>1</v>
      </c>
      <c r="T60" s="1">
        <v>2</v>
      </c>
      <c r="U60" s="1">
        <f>4071*1.852</f>
        <v>7539.4920000000002</v>
      </c>
      <c r="V60" s="1">
        <f>$Q$81*Q60</f>
        <v>8.8169711398584663E-6</v>
      </c>
      <c r="W60" s="1">
        <f>U60*V60*$Q$82</f>
        <v>6.979925754185348E-4</v>
      </c>
    </row>
    <row r="61" spans="1:23" x14ac:dyDescent="0.2">
      <c r="A61" s="31" t="s">
        <v>86</v>
      </c>
      <c r="B61" s="1">
        <v>0</v>
      </c>
      <c r="C61" s="1">
        <v>101.15518283640299</v>
      </c>
      <c r="D61" s="1">
        <v>0</v>
      </c>
      <c r="G61" s="1">
        <v>71</v>
      </c>
      <c r="L61" s="1" t="s">
        <v>130</v>
      </c>
      <c r="M61" s="1" t="s">
        <v>45</v>
      </c>
      <c r="N61" s="1">
        <v>0.154</v>
      </c>
      <c r="O61" s="9">
        <f t="shared" si="3"/>
        <v>1.9534916735282863E-4</v>
      </c>
      <c r="P61" s="1" t="s">
        <v>46</v>
      </c>
      <c r="Q61" s="10">
        <v>1.3957978506895683</v>
      </c>
      <c r="R61" s="1" t="s">
        <v>46</v>
      </c>
      <c r="S61" s="1">
        <v>0</v>
      </c>
      <c r="T61" s="1">
        <v>1</v>
      </c>
      <c r="V61" s="1">
        <f>$Q$81*Q61</f>
        <v>1.7866212488826473E-5</v>
      </c>
      <c r="W61" s="1">
        <f>U61*V61*$Q$82</f>
        <v>0</v>
      </c>
    </row>
    <row r="62" spans="1:23" x14ac:dyDescent="0.2">
      <c r="F62" s="1">
        <v>52</v>
      </c>
      <c r="G62" s="1">
        <v>200</v>
      </c>
      <c r="J62" s="1" t="s">
        <v>131</v>
      </c>
      <c r="K62" s="1" t="s">
        <v>49</v>
      </c>
      <c r="L62" s="1" t="s">
        <v>26</v>
      </c>
      <c r="N62" s="1">
        <v>0.154</v>
      </c>
      <c r="O62" s="9">
        <f t="shared" si="3"/>
        <v>6.9335197426637779E-4</v>
      </c>
      <c r="P62" s="1" t="s">
        <v>46</v>
      </c>
      <c r="Q62" s="10">
        <v>1.3957978506895683</v>
      </c>
      <c r="R62" s="1" t="s">
        <v>32</v>
      </c>
      <c r="S62" s="1">
        <v>1</v>
      </c>
      <c r="T62" s="1">
        <v>2</v>
      </c>
      <c r="U62" s="1">
        <f>10796*1.852</f>
        <v>19994.192000000003</v>
      </c>
      <c r="V62" s="1">
        <f>$Q$81*Q62</f>
        <v>1.7866212488826473E-5</v>
      </c>
      <c r="W62" s="1">
        <f>U62*V62*$Q$82</f>
        <v>3.7508150695511415E-3</v>
      </c>
    </row>
    <row r="63" spans="1:23" x14ac:dyDescent="0.2">
      <c r="A63" s="31" t="s">
        <v>71</v>
      </c>
      <c r="B63" s="1">
        <v>0</v>
      </c>
      <c r="C63" s="1">
        <v>67.588451187890072</v>
      </c>
      <c r="D63" s="1">
        <v>0</v>
      </c>
      <c r="I63" s="1">
        <v>500</v>
      </c>
      <c r="L63" s="1" t="s">
        <v>132</v>
      </c>
      <c r="M63" s="1" t="s">
        <v>54</v>
      </c>
      <c r="N63" s="1">
        <v>6.1499999999999999E-2</v>
      </c>
      <c r="O63" s="9">
        <f>I63*N63*V63</f>
        <v>1.3002783203959641E-4</v>
      </c>
      <c r="P63" s="1" t="s">
        <v>55</v>
      </c>
      <c r="Q63" s="10">
        <v>0.33035526432824297</v>
      </c>
      <c r="R63" s="1" t="s">
        <v>55</v>
      </c>
      <c r="S63" s="1">
        <v>0</v>
      </c>
      <c r="T63" s="1">
        <v>1</v>
      </c>
      <c r="V63" s="1">
        <f>$Q$81*Q63</f>
        <v>4.2285473834015096E-6</v>
      </c>
      <c r="W63" s="1">
        <f>U63*V63*$Q$82</f>
        <v>0</v>
      </c>
    </row>
    <row r="64" spans="1:23" x14ac:dyDescent="0.2">
      <c r="G64" s="1">
        <v>200</v>
      </c>
      <c r="H64" s="1">
        <v>505</v>
      </c>
      <c r="J64" s="1" t="s">
        <v>110</v>
      </c>
      <c r="K64" s="1" t="s">
        <v>133</v>
      </c>
      <c r="L64" s="1" t="s">
        <v>26</v>
      </c>
      <c r="N64" s="1">
        <v>6.1499999999999999E-2</v>
      </c>
      <c r="O64" s="9">
        <f>((H64*N64)+(G64*N64))*V64</f>
        <v>1.8333924317583095E-4</v>
      </c>
      <c r="P64" s="1" t="s">
        <v>55</v>
      </c>
      <c r="Q64" s="10">
        <v>0.33035526432824297</v>
      </c>
      <c r="R64" s="1" t="s">
        <v>32</v>
      </c>
      <c r="S64" s="1">
        <v>1</v>
      </c>
      <c r="T64" s="1">
        <v>2</v>
      </c>
      <c r="U64" s="1">
        <f>10755*1.852</f>
        <v>19918.260000000002</v>
      </c>
      <c r="V64" s="1">
        <f>$Q$81*Q64</f>
        <v>4.2285473834015096E-6</v>
      </c>
      <c r="W64" s="1">
        <f>U64*V64*$Q$82</f>
        <v>8.8436571515156516E-4</v>
      </c>
    </row>
    <row r="65" spans="1:24" x14ac:dyDescent="0.2">
      <c r="A65" s="31" t="s">
        <v>135</v>
      </c>
      <c r="B65" s="1">
        <v>0</v>
      </c>
      <c r="C65" s="1">
        <v>29.346718960746621</v>
      </c>
      <c r="D65" s="1">
        <v>0</v>
      </c>
      <c r="G65" s="1">
        <v>300</v>
      </c>
      <c r="L65" s="1" t="s">
        <v>59</v>
      </c>
      <c r="M65" s="1" t="s">
        <v>60</v>
      </c>
      <c r="N65" s="1">
        <v>0.154</v>
      </c>
      <c r="O65" s="9">
        <f t="shared" si="3"/>
        <v>3.0803663136227673E-4</v>
      </c>
      <c r="P65" s="1" t="s">
        <v>61</v>
      </c>
      <c r="Q65" s="10">
        <v>0.52089527760125265</v>
      </c>
      <c r="R65" s="1" t="s">
        <v>61</v>
      </c>
      <c r="S65" s="1">
        <v>0</v>
      </c>
      <c r="T65" s="1">
        <v>1</v>
      </c>
      <c r="V65" s="1">
        <f>$Q$81*Q65</f>
        <v>6.6674595532960332E-6</v>
      </c>
      <c r="W65" s="1">
        <f>U65*V65*$Q$82</f>
        <v>0</v>
      </c>
    </row>
    <row r="66" spans="1:24" x14ac:dyDescent="0.2">
      <c r="F66" s="1">
        <v>227</v>
      </c>
      <c r="G66" s="1">
        <v>200</v>
      </c>
      <c r="J66" s="1" t="s">
        <v>63</v>
      </c>
      <c r="K66" s="1" t="s">
        <v>64</v>
      </c>
      <c r="L66" s="1" t="s">
        <v>26</v>
      </c>
      <c r="N66" s="1">
        <v>0.154</v>
      </c>
      <c r="O66" s="9">
        <f t="shared" si="3"/>
        <v>4.3843880530564051E-4</v>
      </c>
      <c r="P66" s="1" t="s">
        <v>61</v>
      </c>
      <c r="Q66" s="10">
        <v>0.52089527760125265</v>
      </c>
      <c r="R66" s="1" t="s">
        <v>32</v>
      </c>
      <c r="S66" s="1">
        <v>1</v>
      </c>
      <c r="T66" s="1">
        <v>2</v>
      </c>
      <c r="U66" s="1">
        <f>11837*1.852</f>
        <v>21922.124</v>
      </c>
      <c r="V66" s="1">
        <f>$Q$81*Q66</f>
        <v>6.6674595532960332E-6</v>
      </c>
      <c r="W66" s="1">
        <f>U66*V66*$Q$82</f>
        <v>1.5347311884695727E-3</v>
      </c>
    </row>
    <row r="67" spans="1:24" x14ac:dyDescent="0.2">
      <c r="A67" s="31" t="s">
        <v>84</v>
      </c>
      <c r="B67" s="1">
        <v>0</v>
      </c>
      <c r="C67" s="1">
        <v>12.967154889632226</v>
      </c>
      <c r="D67" s="1">
        <v>0</v>
      </c>
      <c r="I67" s="1">
        <v>1444</v>
      </c>
      <c r="L67" s="1" t="s">
        <v>108</v>
      </c>
      <c r="M67" s="1" t="s">
        <v>115</v>
      </c>
      <c r="N67" s="1">
        <v>6.1499999999999999E-2</v>
      </c>
      <c r="O67" s="9">
        <f>I67*N67*V67</f>
        <v>3.9562803042627058E-4</v>
      </c>
      <c r="P67" s="1" t="s">
        <v>109</v>
      </c>
      <c r="Q67" s="10">
        <v>0.34804450011319493</v>
      </c>
      <c r="R67" s="1" t="s">
        <v>109</v>
      </c>
      <c r="S67" s="1">
        <v>0</v>
      </c>
      <c r="T67" s="1">
        <v>1</v>
      </c>
      <c r="V67" s="1">
        <f>$Q$81*Q67</f>
        <v>4.4549696014488951E-6</v>
      </c>
      <c r="W67" s="1">
        <f>U67*V67*$Q$82</f>
        <v>0</v>
      </c>
    </row>
    <row r="68" spans="1:24" x14ac:dyDescent="0.2">
      <c r="F68" s="1">
        <v>590</v>
      </c>
      <c r="G68" s="1">
        <v>200</v>
      </c>
      <c r="J68" s="1" t="s">
        <v>108</v>
      </c>
      <c r="K68" s="1" t="s">
        <v>116</v>
      </c>
      <c r="L68" s="1" t="s">
        <v>26</v>
      </c>
      <c r="N68" s="1">
        <v>0.154</v>
      </c>
      <c r="O68" s="9">
        <f t="shared" si="3"/>
        <v>5.4199160171227259E-4</v>
      </c>
      <c r="P68" s="1" t="s">
        <v>109</v>
      </c>
      <c r="Q68" s="10">
        <v>0.34804450011319493</v>
      </c>
      <c r="R68" s="1" t="s">
        <v>32</v>
      </c>
      <c r="S68" s="1">
        <v>1</v>
      </c>
      <c r="T68" s="1">
        <v>2</v>
      </c>
      <c r="U68" s="1">
        <f>4438*1.852</f>
        <v>8219.1760000000013</v>
      </c>
      <c r="V68" s="1">
        <f>$Q$81*Q68</f>
        <v>4.4549696014488951E-6</v>
      </c>
      <c r="W68" s="1">
        <f>U68*V68*$Q$82</f>
        <v>3.8446988190406249E-4</v>
      </c>
    </row>
    <row r="69" spans="1:24" x14ac:dyDescent="0.2">
      <c r="A69" s="31" t="s">
        <v>90</v>
      </c>
      <c r="B69" s="1">
        <v>0</v>
      </c>
      <c r="C69" s="1">
        <v>5.4598546903714631</v>
      </c>
      <c r="D69" s="1">
        <v>0</v>
      </c>
      <c r="F69" s="1">
        <v>2030</v>
      </c>
      <c r="G69" s="1">
        <v>822</v>
      </c>
      <c r="J69" s="1" t="s">
        <v>137</v>
      </c>
      <c r="K69" s="1" t="s">
        <v>28</v>
      </c>
      <c r="L69" s="1" t="s">
        <v>80</v>
      </c>
      <c r="M69" s="1" t="s">
        <v>76</v>
      </c>
      <c r="N69" s="1">
        <v>0.154</v>
      </c>
      <c r="O69" s="9">
        <f t="shared" si="3"/>
        <v>2.6317211434997398E-4</v>
      </c>
      <c r="P69" s="1" t="s">
        <v>31</v>
      </c>
      <c r="Q69" s="10">
        <v>4.6812265335767378E-2</v>
      </c>
      <c r="R69" s="1" t="s">
        <v>77</v>
      </c>
      <c r="S69" s="1">
        <v>0</v>
      </c>
      <c r="T69" s="1">
        <v>1</v>
      </c>
      <c r="U69" s="1">
        <f>3451*1.852</f>
        <v>6391.2520000000004</v>
      </c>
      <c r="V69" s="1">
        <f>$Q$81*Q69</f>
        <v>5.9919699629782242E-7</v>
      </c>
      <c r="W69" s="1">
        <f>U69*V69*$Q$82</f>
        <v>4.021099951031573E-5</v>
      </c>
    </row>
    <row r="70" spans="1:24" x14ac:dyDescent="0.2">
      <c r="A70" s="31" t="s">
        <v>138</v>
      </c>
      <c r="B70" s="1">
        <v>0</v>
      </c>
      <c r="C70" s="1">
        <v>10.237227544446494</v>
      </c>
      <c r="D70" s="1">
        <v>0</v>
      </c>
      <c r="G70" s="1">
        <v>200</v>
      </c>
      <c r="L70" s="1" t="s">
        <v>26</v>
      </c>
      <c r="N70" s="1">
        <v>0.154</v>
      </c>
      <c r="O70" s="9">
        <f t="shared" si="3"/>
        <v>4.1122266073356439E-5</v>
      </c>
      <c r="P70" s="1" t="s">
        <v>77</v>
      </c>
      <c r="Q70" s="10">
        <v>0.10430769600587571</v>
      </c>
      <c r="R70" s="1" t="s">
        <v>77</v>
      </c>
      <c r="S70" s="1">
        <v>0</v>
      </c>
      <c r="T70" s="1">
        <v>1</v>
      </c>
      <c r="V70" s="1">
        <f>$Q$81*Q70</f>
        <v>1.3351385088752089E-6</v>
      </c>
      <c r="W70" s="1">
        <f>U70*V70*$Q$82</f>
        <v>0</v>
      </c>
    </row>
    <row r="71" spans="1:24" x14ac:dyDescent="0.2">
      <c r="F71" s="1">
        <v>822</v>
      </c>
      <c r="G71" s="1">
        <v>200</v>
      </c>
      <c r="J71" s="1" t="s">
        <v>80</v>
      </c>
      <c r="K71" s="1" t="s">
        <v>76</v>
      </c>
      <c r="L71" s="1" t="s">
        <v>26</v>
      </c>
      <c r="N71" s="1">
        <v>0.154</v>
      </c>
      <c r="O71" s="9">
        <f t="shared" si="3"/>
        <v>3.0444119648817303E-4</v>
      </c>
      <c r="P71" s="1" t="s">
        <v>77</v>
      </c>
      <c r="Q71" s="10">
        <v>0.15111996134164307</v>
      </c>
      <c r="R71" s="1" t="s">
        <v>32</v>
      </c>
      <c r="S71" s="1">
        <v>1</v>
      </c>
      <c r="T71" s="1">
        <v>2</v>
      </c>
      <c r="U71" s="1">
        <f>9863*1.852</f>
        <v>18266.276000000002</v>
      </c>
      <c r="V71" s="1">
        <f>$Q$81*Q71</f>
        <v>1.9343355051730313E-6</v>
      </c>
      <c r="W71" s="1">
        <f>U71*V71*$Q$82</f>
        <v>3.7099761524794523E-4</v>
      </c>
    </row>
    <row r="72" spans="1:24" x14ac:dyDescent="0.2">
      <c r="A72" s="31" t="s">
        <v>74</v>
      </c>
      <c r="B72" s="1">
        <v>651.80349884601469</v>
      </c>
      <c r="C72" s="1">
        <v>0</v>
      </c>
      <c r="D72" s="1">
        <v>0</v>
      </c>
      <c r="G72" s="1">
        <v>317</v>
      </c>
      <c r="L72" s="1" t="s">
        <v>120</v>
      </c>
      <c r="M72" s="1" t="s">
        <v>121</v>
      </c>
      <c r="N72" s="1">
        <v>0.154</v>
      </c>
      <c r="O72" s="9">
        <f t="shared" si="3"/>
        <v>4.1725056352074501E-5</v>
      </c>
      <c r="P72" s="1" t="s">
        <v>70</v>
      </c>
      <c r="Q72" s="10">
        <v>6.6773936406772511E-2</v>
      </c>
      <c r="R72" s="1" t="s">
        <v>70</v>
      </c>
      <c r="S72" s="1">
        <v>0</v>
      </c>
      <c r="T72" s="1">
        <v>1</v>
      </c>
      <c r="V72" s="1">
        <f>$Q$81*Q72</f>
        <v>8.5470638600668809E-7</v>
      </c>
      <c r="W72" s="1">
        <f>U72*V72*$Q$82</f>
        <v>0</v>
      </c>
    </row>
    <row r="73" spans="1:24" x14ac:dyDescent="0.2">
      <c r="F73" s="1">
        <v>300</v>
      </c>
      <c r="G73" s="1">
        <v>200</v>
      </c>
      <c r="J73" s="1" t="s">
        <v>122</v>
      </c>
      <c r="K73" s="1" t="s">
        <v>121</v>
      </c>
      <c r="L73" s="1" t="s">
        <v>26</v>
      </c>
      <c r="N73" s="1">
        <v>0.154</v>
      </c>
      <c r="O73" s="9">
        <f t="shared" si="3"/>
        <v>6.581239172251498E-5</v>
      </c>
      <c r="P73" s="1" t="s">
        <v>70</v>
      </c>
      <c r="Q73" s="10">
        <v>6.6773936406772511E-2</v>
      </c>
      <c r="R73" s="1" t="s">
        <v>32</v>
      </c>
      <c r="S73" s="1">
        <v>1</v>
      </c>
      <c r="T73" s="1">
        <v>2</v>
      </c>
      <c r="U73" s="1">
        <f>11384*1.852</f>
        <v>21083.168000000001</v>
      </c>
      <c r="V73" s="1">
        <f>$Q$81*Q73</f>
        <v>8.5470638600668809E-7</v>
      </c>
      <c r="W73" s="1">
        <f>U73*V73*$Q$82</f>
        <v>1.8920914243194449E-4</v>
      </c>
    </row>
    <row r="74" spans="1:24" x14ac:dyDescent="0.2">
      <c r="A74" s="31" t="s">
        <v>139</v>
      </c>
      <c r="B74" s="1">
        <v>2422.0805076235551</v>
      </c>
      <c r="C74" s="1">
        <v>0</v>
      </c>
      <c r="D74" s="1">
        <v>0</v>
      </c>
      <c r="G74" s="1">
        <v>545</v>
      </c>
      <c r="L74" s="1" t="s">
        <v>82</v>
      </c>
      <c r="M74" s="1" t="s">
        <v>83</v>
      </c>
      <c r="N74" s="1">
        <v>0.154</v>
      </c>
      <c r="O74" s="9">
        <f t="shared" si="3"/>
        <v>3.0204423990543711E-5</v>
      </c>
      <c r="P74" s="1" t="s">
        <v>51</v>
      </c>
      <c r="Q74" s="10">
        <v>2.8115341644956843E-2</v>
      </c>
      <c r="R74" s="1" t="s">
        <v>51</v>
      </c>
      <c r="S74" s="1">
        <v>0</v>
      </c>
      <c r="T74" s="1">
        <v>1</v>
      </c>
      <c r="V74" s="1">
        <f>$Q$81*Q74</f>
        <v>3.5987637305544756E-7</v>
      </c>
      <c r="W74" s="1">
        <f>U74*V74*$Q$82</f>
        <v>0</v>
      </c>
    </row>
    <row r="75" spans="1:24" x14ac:dyDescent="0.2">
      <c r="F75" s="1">
        <v>712</v>
      </c>
      <c r="G75" s="1">
        <v>200</v>
      </c>
      <c r="J75" s="1" t="s">
        <v>85</v>
      </c>
      <c r="K75" s="1" t="s">
        <v>140</v>
      </c>
      <c r="L75" s="1" t="s">
        <v>26</v>
      </c>
      <c r="N75" s="1">
        <v>0.154</v>
      </c>
      <c r="O75" s="9">
        <f t="shared" si="3"/>
        <v>5.0543916842891504E-5</v>
      </c>
      <c r="P75" s="1" t="s">
        <v>51</v>
      </c>
      <c r="Q75" s="10">
        <v>2.8115341644956843E-2</v>
      </c>
      <c r="R75" s="1" t="s">
        <v>32</v>
      </c>
      <c r="S75" s="1">
        <v>1</v>
      </c>
      <c r="T75" s="1">
        <v>2</v>
      </c>
      <c r="U75" s="1">
        <f>7968*1.852</f>
        <v>14756.736000000001</v>
      </c>
      <c r="V75" s="1">
        <f>$Q$81*Q75</f>
        <v>3.5987637305544756E-7</v>
      </c>
      <c r="W75" s="1">
        <f>U75*V75*$Q$82</f>
        <v>5.5761306613075909E-5</v>
      </c>
    </row>
    <row r="76" spans="1:24" x14ac:dyDescent="0.2">
      <c r="A76" s="31" t="s">
        <v>141</v>
      </c>
      <c r="B76" s="1">
        <v>7788.6862080699411</v>
      </c>
      <c r="C76" s="1">
        <v>0</v>
      </c>
      <c r="D76" s="1">
        <v>0</v>
      </c>
      <c r="G76" s="1">
        <v>5</v>
      </c>
      <c r="L76" s="1" t="s">
        <v>67</v>
      </c>
      <c r="N76" s="1">
        <v>0.154</v>
      </c>
      <c r="O76" s="9">
        <f t="shared" si="3"/>
        <v>5.1957151359880261E-7</v>
      </c>
      <c r="P76" s="1" t="s">
        <v>87</v>
      </c>
      <c r="Q76" s="10">
        <v>5.2716265584294091E-2</v>
      </c>
      <c r="R76" s="1" t="s">
        <v>87</v>
      </c>
      <c r="S76" s="1">
        <v>0</v>
      </c>
      <c r="T76" s="1">
        <v>1</v>
      </c>
      <c r="V76" s="1">
        <f>$Q$81*Q76</f>
        <v>6.7476819947896434E-7</v>
      </c>
      <c r="W76" s="1">
        <f>U76*V76*$Q$82</f>
        <v>0</v>
      </c>
    </row>
    <row r="77" spans="1:24" x14ac:dyDescent="0.2">
      <c r="A77" s="31" t="s">
        <v>142</v>
      </c>
      <c r="B77" s="1">
        <v>48.756714622419821</v>
      </c>
      <c r="C77" s="1">
        <v>0</v>
      </c>
      <c r="D77" s="1">
        <v>0</v>
      </c>
      <c r="F77" s="1">
        <v>2511</v>
      </c>
      <c r="G77" s="1">
        <v>200</v>
      </c>
      <c r="J77" s="1" t="s">
        <v>88</v>
      </c>
      <c r="K77" s="1" t="s">
        <v>89</v>
      </c>
      <c r="L77" s="1" t="s">
        <v>26</v>
      </c>
      <c r="N77" s="1">
        <v>0.154</v>
      </c>
      <c r="O77" s="9">
        <f t="shared" si="3"/>
        <v>2.8171167467327073E-4</v>
      </c>
      <c r="P77" s="1" t="s">
        <v>87</v>
      </c>
      <c r="Q77" s="10">
        <v>5.2716265584294091E-2</v>
      </c>
      <c r="R77" s="1" t="s">
        <v>32</v>
      </c>
      <c r="S77" s="1">
        <v>1</v>
      </c>
      <c r="T77" s="1">
        <v>2</v>
      </c>
      <c r="V77" s="1">
        <f>$Q$81*Q77</f>
        <v>6.7476819947896434E-7</v>
      </c>
      <c r="W77" s="1">
        <f>U77*V77*$Q$82</f>
        <v>0</v>
      </c>
    </row>
    <row r="78" spans="1:24" x14ac:dyDescent="0.2">
      <c r="A78" s="31" t="s">
        <v>143</v>
      </c>
      <c r="B78" s="1">
        <v>2.6167164595960646</v>
      </c>
      <c r="C78" s="1">
        <v>0</v>
      </c>
      <c r="D78" s="1">
        <v>0</v>
      </c>
      <c r="O78" s="9">
        <f>SUM(O4:O77)</f>
        <v>0.4016729630838024</v>
      </c>
      <c r="Q78" s="10"/>
      <c r="W78" s="1">
        <f>SUM(W4:W74)</f>
        <v>0.19458012307147146</v>
      </c>
      <c r="X78" s="16">
        <f>O78+W78</f>
        <v>0.59625308615527384</v>
      </c>
    </row>
    <row r="79" spans="1:24" x14ac:dyDescent="0.2">
      <c r="A79" s="31" t="s">
        <v>144</v>
      </c>
      <c r="B79" s="1">
        <v>43.403556292276022</v>
      </c>
      <c r="C79" s="1">
        <v>0</v>
      </c>
      <c r="D79" s="1">
        <v>0</v>
      </c>
    </row>
    <row r="80" spans="1:24" x14ac:dyDescent="0.2">
      <c r="A80" s="31" t="s">
        <v>145</v>
      </c>
      <c r="B80" s="1">
        <v>22.338869420810724</v>
      </c>
      <c r="C80" s="1">
        <v>0</v>
      </c>
      <c r="D80" s="1">
        <v>0</v>
      </c>
      <c r="N80" s="7"/>
      <c r="O80" s="10"/>
    </row>
    <row r="81" spans="1:22" x14ac:dyDescent="0.2">
      <c r="A81" s="31" t="s">
        <v>146</v>
      </c>
      <c r="B81" s="1">
        <v>3.8994760878649153</v>
      </c>
      <c r="C81" s="1">
        <v>0</v>
      </c>
      <c r="D81" s="1">
        <v>0</v>
      </c>
      <c r="N81" s="7"/>
      <c r="O81" s="10"/>
      <c r="P81" s="4" t="s">
        <v>157</v>
      </c>
      <c r="Q81" s="14">
        <v>1.2799999999999999E-5</v>
      </c>
    </row>
    <row r="82" spans="1:22" x14ac:dyDescent="0.2">
      <c r="A82" s="31" t="s">
        <v>147</v>
      </c>
      <c r="B82" s="1">
        <v>2.6130870095396275</v>
      </c>
      <c r="C82" s="1">
        <v>0</v>
      </c>
      <c r="D82" s="1">
        <v>0</v>
      </c>
      <c r="N82" s="7"/>
      <c r="O82" s="10"/>
      <c r="P82" s="15" t="s">
        <v>113</v>
      </c>
      <c r="Q82" s="4">
        <v>1.0500000000000001E-2</v>
      </c>
    </row>
    <row r="83" spans="1:22" x14ac:dyDescent="0.2">
      <c r="A83" s="31" t="s">
        <v>148</v>
      </c>
      <c r="B83" s="1">
        <v>5.8225143233926389</v>
      </c>
      <c r="C83" s="1">
        <v>0</v>
      </c>
      <c r="D83" s="1">
        <v>0</v>
      </c>
    </row>
    <row r="84" spans="1:22" x14ac:dyDescent="0.2">
      <c r="A84" s="31" t="s">
        <v>149</v>
      </c>
      <c r="B84" s="1">
        <v>3.2451422318513021</v>
      </c>
      <c r="C84" s="1">
        <v>0</v>
      </c>
      <c r="D84" s="1">
        <v>0</v>
      </c>
      <c r="O84" s="17"/>
      <c r="S84" s="10"/>
      <c r="T84" s="10"/>
    </row>
    <row r="85" spans="1:22" x14ac:dyDescent="0.2">
      <c r="A85" s="31" t="s">
        <v>150</v>
      </c>
      <c r="B85" s="1">
        <v>40.719019012739082</v>
      </c>
      <c r="C85" s="1">
        <v>0</v>
      </c>
      <c r="D85" s="1">
        <v>0</v>
      </c>
      <c r="Q85" s="17"/>
      <c r="U85" s="10"/>
    </row>
    <row r="86" spans="1:22" x14ac:dyDescent="0.2">
      <c r="A86" s="31" t="s">
        <v>102</v>
      </c>
      <c r="B86" s="1">
        <v>3.9146616397851299</v>
      </c>
      <c r="C86" s="1">
        <v>0</v>
      </c>
      <c r="D86" s="1">
        <v>0</v>
      </c>
      <c r="Q86" s="17"/>
      <c r="U86" s="10"/>
    </row>
    <row r="87" spans="1:22" x14ac:dyDescent="0.2">
      <c r="A87" s="31" t="s">
        <v>151</v>
      </c>
      <c r="B87" s="1">
        <v>14.546754763440159</v>
      </c>
      <c r="C87" s="1">
        <v>0</v>
      </c>
      <c r="D87" s="1">
        <v>0</v>
      </c>
      <c r="U87" s="10"/>
      <c r="V87" s="10"/>
    </row>
    <row r="88" spans="1:22" x14ac:dyDescent="0.2">
      <c r="A88" s="31" t="s">
        <v>152</v>
      </c>
      <c r="B88" s="1">
        <v>54.905953720379458</v>
      </c>
      <c r="C88" s="1">
        <v>0</v>
      </c>
      <c r="D88" s="1">
        <v>0</v>
      </c>
      <c r="U88" s="10"/>
    </row>
    <row r="89" spans="1:22" x14ac:dyDescent="0.2">
      <c r="A89" s="31" t="s">
        <v>153</v>
      </c>
      <c r="B89" s="1">
        <v>98.290709904916255</v>
      </c>
      <c r="C89" s="1">
        <v>0</v>
      </c>
      <c r="D89" s="1">
        <v>0</v>
      </c>
      <c r="U89" s="10"/>
    </row>
    <row r="90" spans="1:22" x14ac:dyDescent="0.2">
      <c r="A90" s="31" t="s">
        <v>154</v>
      </c>
      <c r="B90" s="1">
        <v>77.87663736382089</v>
      </c>
      <c r="C90" s="1">
        <v>0</v>
      </c>
      <c r="D90" s="1">
        <v>0</v>
      </c>
      <c r="U90" s="10"/>
    </row>
    <row r="91" spans="1:22" x14ac:dyDescent="0.2">
      <c r="A91" s="31" t="s">
        <v>155</v>
      </c>
      <c r="B91" s="1">
        <v>291.31945345312522</v>
      </c>
      <c r="C91" s="1">
        <v>0</v>
      </c>
      <c r="D91" s="1">
        <v>0</v>
      </c>
      <c r="U91" s="10"/>
      <c r="V91" s="10"/>
    </row>
    <row r="92" spans="1:22" x14ac:dyDescent="0.2">
      <c r="A92" s="31" t="s">
        <v>156</v>
      </c>
      <c r="B92" s="1">
        <v>2040.9736960250154</v>
      </c>
      <c r="C92" s="1">
        <v>0</v>
      </c>
      <c r="D92" s="1">
        <v>0</v>
      </c>
    </row>
    <row r="93" spans="1:22" x14ac:dyDescent="0.2">
      <c r="A93" s="31" t="s">
        <v>136</v>
      </c>
      <c r="B93" s="1">
        <v>8.5527391483528198E-2</v>
      </c>
      <c r="C93" s="1">
        <v>0</v>
      </c>
      <c r="D93" s="1">
        <v>0</v>
      </c>
      <c r="Q93" s="24"/>
      <c r="R93" s="18"/>
    </row>
    <row r="94" spans="1:22" x14ac:dyDescent="0.2">
      <c r="A94" s="31" t="s">
        <v>158</v>
      </c>
      <c r="B94" s="1">
        <v>54.905953720379458</v>
      </c>
      <c r="C94" s="1">
        <v>0</v>
      </c>
      <c r="D94" s="1">
        <v>0</v>
      </c>
      <c r="Q94" s="24"/>
      <c r="R94" s="24"/>
      <c r="U94" s="10"/>
    </row>
    <row r="95" spans="1:22" x14ac:dyDescent="0.2">
      <c r="A95" s="31" t="s">
        <v>159</v>
      </c>
      <c r="B95" s="1">
        <v>66.030518669291837</v>
      </c>
      <c r="C95" s="1">
        <v>0</v>
      </c>
      <c r="D95" s="1">
        <v>0</v>
      </c>
      <c r="Q95" s="24"/>
    </row>
    <row r="96" spans="1:22" x14ac:dyDescent="0.2">
      <c r="A96" s="31" t="s">
        <v>161</v>
      </c>
      <c r="B96" s="1">
        <v>147.13005702811688</v>
      </c>
      <c r="C96" s="1">
        <v>0</v>
      </c>
      <c r="D96" s="1">
        <v>0</v>
      </c>
    </row>
    <row r="97" spans="1:17" x14ac:dyDescent="0.2">
      <c r="A97" s="31" t="s">
        <v>125</v>
      </c>
      <c r="B97" s="1">
        <v>166.58104248945645</v>
      </c>
      <c r="C97" s="1">
        <v>0</v>
      </c>
      <c r="D97" s="1">
        <v>0</v>
      </c>
      <c r="Q97" s="18"/>
    </row>
    <row r="98" spans="1:17" x14ac:dyDescent="0.2">
      <c r="A98" s="31" t="s">
        <v>162</v>
      </c>
      <c r="B98" s="1">
        <v>21.631851015218515</v>
      </c>
      <c r="C98" s="1">
        <v>0</v>
      </c>
      <c r="D98" s="1">
        <v>0</v>
      </c>
    </row>
    <row r="99" spans="1:17" x14ac:dyDescent="0.2">
      <c r="A99" s="31" t="s">
        <v>163</v>
      </c>
      <c r="B99" s="1">
        <v>71.843008846163684</v>
      </c>
      <c r="C99" s="1">
        <v>0</v>
      </c>
      <c r="D99" s="1">
        <v>0</v>
      </c>
    </row>
    <row r="100" spans="1:17" x14ac:dyDescent="0.2">
      <c r="A100" s="31" t="s">
        <v>114</v>
      </c>
      <c r="B100" s="1">
        <v>455.92422784194565</v>
      </c>
      <c r="C100" s="1">
        <v>0</v>
      </c>
      <c r="D100" s="1">
        <v>0</v>
      </c>
    </row>
    <row r="101" spans="1:17" x14ac:dyDescent="0.2">
      <c r="A101" s="31" t="s">
        <v>164</v>
      </c>
      <c r="B101" s="1">
        <v>1694.1995358484244</v>
      </c>
      <c r="C101" s="1">
        <v>0</v>
      </c>
      <c r="D101" s="1">
        <v>0</v>
      </c>
    </row>
    <row r="102" spans="1:17" x14ac:dyDescent="0.2">
      <c r="A102" s="31" t="s">
        <v>165</v>
      </c>
      <c r="B102" s="1">
        <v>694.7881212745848</v>
      </c>
      <c r="C102" s="1">
        <v>0</v>
      </c>
      <c r="D102" s="1">
        <v>0</v>
      </c>
    </row>
    <row r="103" spans="1:17" x14ac:dyDescent="0.2">
      <c r="A103" s="31" t="s">
        <v>166</v>
      </c>
      <c r="B103" s="1">
        <v>1732.8213823566434</v>
      </c>
      <c r="C103" s="1">
        <v>0</v>
      </c>
      <c r="D103" s="1">
        <v>0</v>
      </c>
    </row>
    <row r="104" spans="1:17" x14ac:dyDescent="0.2">
      <c r="A104" s="31" t="s">
        <v>167</v>
      </c>
      <c r="B104" s="1">
        <v>133.76643991410086</v>
      </c>
      <c r="C104" s="1">
        <v>0</v>
      </c>
      <c r="D104" s="1">
        <v>0</v>
      </c>
    </row>
    <row r="105" spans="1:17" x14ac:dyDescent="0.2">
      <c r="A105" s="31" t="s">
        <v>168</v>
      </c>
      <c r="B105" s="1">
        <v>271.05676104294565</v>
      </c>
      <c r="C105" s="1">
        <v>0</v>
      </c>
      <c r="D105" s="1">
        <v>0</v>
      </c>
    </row>
    <row r="106" spans="1:17" x14ac:dyDescent="0.2">
      <c r="A106" s="31" t="s">
        <v>169</v>
      </c>
      <c r="B106" s="1">
        <v>64.1532926118647</v>
      </c>
      <c r="C106" s="1">
        <v>0</v>
      </c>
      <c r="D106" s="1">
        <v>0</v>
      </c>
    </row>
    <row r="107" spans="1:17" x14ac:dyDescent="0.2">
      <c r="A107" s="31" t="s">
        <v>170</v>
      </c>
      <c r="B107" s="1">
        <v>101.15518283640299</v>
      </c>
      <c r="C107" s="1">
        <v>0</v>
      </c>
      <c r="D107" s="1">
        <v>0</v>
      </c>
    </row>
    <row r="108" spans="1:17" x14ac:dyDescent="0.2">
      <c r="A108" s="31" t="s">
        <v>160</v>
      </c>
      <c r="B108" s="1">
        <v>67.588451187890072</v>
      </c>
      <c r="C108" s="1">
        <v>0</v>
      </c>
      <c r="D108" s="1">
        <v>0</v>
      </c>
    </row>
    <row r="109" spans="1:17" x14ac:dyDescent="0.2">
      <c r="A109" s="31" t="s">
        <v>171</v>
      </c>
      <c r="B109" s="1">
        <v>9.0907010730295994</v>
      </c>
      <c r="C109" s="1">
        <v>0</v>
      </c>
      <c r="D109" s="1">
        <v>0</v>
      </c>
    </row>
    <row r="110" spans="1:17" x14ac:dyDescent="0.2">
      <c r="A110" s="31" t="s">
        <v>172</v>
      </c>
      <c r="B110" s="1">
        <v>20.256017887717022</v>
      </c>
      <c r="C110" s="1">
        <v>0</v>
      </c>
      <c r="D110" s="1">
        <v>0</v>
      </c>
    </row>
    <row r="111" spans="1:17" x14ac:dyDescent="0.2">
      <c r="A111" s="31" t="s">
        <v>134</v>
      </c>
      <c r="B111" s="1">
        <v>12.967154889632226</v>
      </c>
      <c r="C111" s="1">
        <v>0</v>
      </c>
      <c r="D111" s="1">
        <v>0</v>
      </c>
    </row>
    <row r="112" spans="1:17" x14ac:dyDescent="0.2">
      <c r="A112" s="31" t="s">
        <v>173</v>
      </c>
      <c r="B112" s="1">
        <v>5.4598546903714631</v>
      </c>
      <c r="C112" s="1">
        <v>0</v>
      </c>
      <c r="D112" s="1">
        <v>0</v>
      </c>
    </row>
    <row r="113" spans="1:4" x14ac:dyDescent="0.2">
      <c r="A113" s="31" t="s">
        <v>174</v>
      </c>
      <c r="B113" s="1">
        <v>10.237227544446494</v>
      </c>
      <c r="C113" s="1">
        <v>0</v>
      </c>
      <c r="D113" s="1">
        <v>0</v>
      </c>
    </row>
    <row r="114" spans="1:4" x14ac:dyDescent="0.2">
      <c r="B114" s="1">
        <f>SUM(B72:B113)</f>
        <v>19419.485487030594</v>
      </c>
      <c r="C114" s="1">
        <f>SUM(C9:C70)</f>
        <v>19419.485487030594</v>
      </c>
    </row>
  </sheetData>
  <mergeCells count="6">
    <mergeCell ref="A2:D2"/>
    <mergeCell ref="F2:G2"/>
    <mergeCell ref="A1:W1"/>
    <mergeCell ref="P2:W2"/>
    <mergeCell ref="H2:I2"/>
    <mergeCell ref="J2:M2"/>
  </mergeCells>
  <hyperlinks>
    <hyperlink ref="A2" r:id="rId1" display="https://www.nature.com/articles/s41467-024-46418-1" xr:uid="{C5B91955-B777-784B-B27D-90D734218A89}"/>
    <hyperlink ref="P82" r:id="rId2" display="Container ship emissions" xr:uid="{7A346B68-7D49-B344-BCF0-473E2C210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Nandurkar, Sachi A</dc:creator>
  <cp:lastModifiedBy>Nandurkar, Sachi A</cp:lastModifiedBy>
  <dcterms:created xsi:type="dcterms:W3CDTF">2025-02-05T03:19:37Z</dcterms:created>
  <dcterms:modified xsi:type="dcterms:W3CDTF">2025-02-12T04:52:18Z</dcterms:modified>
</cp:coreProperties>
</file>